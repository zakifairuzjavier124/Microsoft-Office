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4499D66-06DA-4FCC-8E5B-70E965719B7D}" xr6:coauthVersionLast="47" xr6:coauthVersionMax="47" xr10:uidLastSave="{00000000-0000-0000-0000-000000000000}"/>
  <bookViews>
    <workbookView xWindow="-120" yWindow="-120" windowWidth="20730" windowHeight="11160" xr2:uid="{656AF4A5-6DB0-2940-81D3-0A4648890BD2}"/>
  </bookViews>
  <sheets>
    <sheet name="DATA UTAMA" sheetId="1" r:id="rId1"/>
    <sheet name="SUBTOT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" l="1"/>
  <c r="I15" i="1"/>
  <c r="I28" i="1" s="1"/>
  <c r="H26" i="1"/>
  <c r="H16" i="1"/>
  <c r="H29" i="1" s="1"/>
  <c r="I27" i="1"/>
  <c r="I17" i="1"/>
  <c r="I30" i="1" s="1"/>
</calcChain>
</file>

<file path=xl/sharedStrings.xml><?xml version="1.0" encoding="utf-8"?>
<sst xmlns="http://schemas.openxmlformats.org/spreadsheetml/2006/main" count="140" uniqueCount="62">
  <si>
    <t>No.</t>
  </si>
  <si>
    <t>NIM</t>
  </si>
  <si>
    <t>Binusian</t>
  </si>
  <si>
    <t>Kelas</t>
  </si>
  <si>
    <t>Nama</t>
  </si>
  <si>
    <t>Umur</t>
  </si>
  <si>
    <t>Jurusan</t>
  </si>
  <si>
    <t>Nilai</t>
  </si>
  <si>
    <t>Biaya Per Semester</t>
  </si>
  <si>
    <t>Status Kelulusan</t>
  </si>
  <si>
    <t>Jenis Penghargaan</t>
  </si>
  <si>
    <t>Binusian 2019</t>
  </si>
  <si>
    <t>LK21</t>
  </si>
  <si>
    <t>Raden</t>
  </si>
  <si>
    <t>Management</t>
  </si>
  <si>
    <t>Ulang</t>
  </si>
  <si>
    <t>High Merit</t>
  </si>
  <si>
    <t>LA21</t>
  </si>
  <si>
    <t>Ocha</t>
  </si>
  <si>
    <t>IBM</t>
  </si>
  <si>
    <t>Lulus</t>
  </si>
  <si>
    <t>Summa Cum Laude</t>
  </si>
  <si>
    <t>LM21</t>
  </si>
  <si>
    <t>Ramley</t>
  </si>
  <si>
    <t>Marketing</t>
  </si>
  <si>
    <t>LI21</t>
  </si>
  <si>
    <t>Jonathan</t>
  </si>
  <si>
    <t>Business</t>
  </si>
  <si>
    <t>LL21</t>
  </si>
  <si>
    <t>Angel</t>
  </si>
  <si>
    <t>Binusian 2020</t>
  </si>
  <si>
    <t>Stefani</t>
  </si>
  <si>
    <t>LG21</t>
  </si>
  <si>
    <t>Rendy</t>
  </si>
  <si>
    <t>Ferry</t>
  </si>
  <si>
    <t>LT21</t>
  </si>
  <si>
    <t>Vincent</t>
  </si>
  <si>
    <t>LR21</t>
  </si>
  <si>
    <t>Jessica</t>
  </si>
  <si>
    <t>Natasha</t>
  </si>
  <si>
    <t>Cindy</t>
  </si>
  <si>
    <t>Binusian 2021</t>
  </si>
  <si>
    <t>LN21</t>
  </si>
  <si>
    <t>Meiliana</t>
  </si>
  <si>
    <t>Aditya</t>
  </si>
  <si>
    <t>Jason</t>
  </si>
  <si>
    <t>Rudy</t>
  </si>
  <si>
    <t>Viranda</t>
  </si>
  <si>
    <t>Cinthya</t>
  </si>
  <si>
    <t>LO21</t>
  </si>
  <si>
    <t>Rafael</t>
  </si>
  <si>
    <t>LH21</t>
  </si>
  <si>
    <t>Alexander</t>
  </si>
  <si>
    <t>High Merit Total</t>
  </si>
  <si>
    <t>Summa Cum Laude Total</t>
  </si>
  <si>
    <t>Grand Total</t>
  </si>
  <si>
    <t>High Merit Max</t>
  </si>
  <si>
    <t>Summa Cum Laude Max</t>
  </si>
  <si>
    <t>Grand Max</t>
  </si>
  <si>
    <t>High Merit Average</t>
  </si>
  <si>
    <t>Summa Cum Laude Average</t>
  </si>
  <si>
    <t>Grand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</si>
</sst>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Rp-421]* #,##0_);_([$Rp-421]* \(#,##0\);_([$Rp-421]* &quot;-&quot;_);_(@_)"/>
  </numFmts>
  <fonts count="3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0" fontId="2" fillId="3" borderId="1" xfId="0" applyFont="1" applyFill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/>
    <xf numFmtId="0" fontId="2" fillId="3" borderId="0" xfId="0" applyFont="1" applyFill="1" applyBorder="1" applyAlignment="1">
      <alignment horizontal="center"/>
    </xf>
    <xf numFmtId="164" fontId="2" fillId="0" borderId="0" xfId="0" applyNumberFormat="1" applyFont="1" applyBorder="1" applyAlignment="1">
      <alignment horizontal="center"/>
    </xf>
    <xf numFmtId="0" fontId="1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52920-D31E-6543-BCDF-1555ACE97366}">
  <dimension ref="A1:K30"/>
  <sheetViews>
    <sheetView tabSelected="1" workbookViewId="0">
      <selection activeCell="G29" sqref="G29"/>
    </sheetView>
  </sheetViews>
  <sheetFormatPr defaultColWidth="11" defaultRowHeight="15.75" outlineLevelRow="4" x14ac:dyDescent="0.25"/>
  <cols>
    <col min="1" max="1" width="4.625" bestFit="1" customWidth="1"/>
    <col min="2" max="2" width="12.875" bestFit="1" customWidth="1"/>
    <col min="3" max="3" width="14.125" bestFit="1" customWidth="1"/>
    <col min="4" max="4" width="6.5" bestFit="1" customWidth="1"/>
    <col min="5" max="5" width="10.625" bestFit="1" customWidth="1"/>
    <col min="6" max="6" width="6.625" bestFit="1" customWidth="1"/>
    <col min="7" max="7" width="14" bestFit="1" customWidth="1"/>
    <col min="8" max="8" width="5.375" bestFit="1" customWidth="1"/>
    <col min="9" max="9" width="17.125" customWidth="1"/>
    <col min="11" max="11" width="28.375" customWidth="1"/>
  </cols>
  <sheetData>
    <row r="1" spans="1:11" ht="37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8.75" outlineLevel="4" x14ac:dyDescent="0.3">
      <c r="A2" s="2">
        <v>1</v>
      </c>
      <c r="B2" s="2">
        <v>1901560446</v>
      </c>
      <c r="C2" s="3" t="s">
        <v>11</v>
      </c>
      <c r="D2" s="2" t="s">
        <v>12</v>
      </c>
      <c r="E2" s="2" t="s">
        <v>13</v>
      </c>
      <c r="F2" s="4">
        <v>24</v>
      </c>
      <c r="G2" s="2" t="s">
        <v>14</v>
      </c>
      <c r="H2" s="4">
        <v>70</v>
      </c>
      <c r="I2" s="5">
        <v>3600000</v>
      </c>
      <c r="J2" s="2" t="s">
        <v>15</v>
      </c>
      <c r="K2" s="2" t="s">
        <v>16</v>
      </c>
    </row>
    <row r="3" spans="1:11" ht="18.75" outlineLevel="4" x14ac:dyDescent="0.3">
      <c r="A3" s="2">
        <v>5</v>
      </c>
      <c r="B3" s="2">
        <v>1901560458</v>
      </c>
      <c r="C3" s="3" t="s">
        <v>11</v>
      </c>
      <c r="D3" s="2" t="s">
        <v>28</v>
      </c>
      <c r="E3" s="2" t="s">
        <v>29</v>
      </c>
      <c r="F3" s="4">
        <v>21</v>
      </c>
      <c r="G3" s="2" t="s">
        <v>19</v>
      </c>
      <c r="H3" s="4">
        <v>78</v>
      </c>
      <c r="I3" s="5">
        <v>4100000</v>
      </c>
      <c r="J3" s="2" t="s">
        <v>15</v>
      </c>
      <c r="K3" s="2" t="s">
        <v>16</v>
      </c>
    </row>
    <row r="4" spans="1:11" ht="18.75" outlineLevel="4" x14ac:dyDescent="0.3">
      <c r="A4" s="2">
        <v>6</v>
      </c>
      <c r="B4" s="2">
        <v>2001560461</v>
      </c>
      <c r="C4" s="3" t="s">
        <v>30</v>
      </c>
      <c r="D4" s="2" t="s">
        <v>17</v>
      </c>
      <c r="E4" s="2" t="s">
        <v>31</v>
      </c>
      <c r="F4" s="4">
        <v>20</v>
      </c>
      <c r="G4" s="2" t="s">
        <v>14</v>
      </c>
      <c r="H4" s="4">
        <v>89</v>
      </c>
      <c r="I4" s="5">
        <v>3600000</v>
      </c>
      <c r="J4" s="2" t="s">
        <v>20</v>
      </c>
      <c r="K4" s="2" t="s">
        <v>16</v>
      </c>
    </row>
    <row r="5" spans="1:11" ht="18.75" outlineLevel="4" x14ac:dyDescent="0.3">
      <c r="A5" s="2">
        <v>7</v>
      </c>
      <c r="B5" s="2">
        <v>2001560464</v>
      </c>
      <c r="C5" s="3" t="s">
        <v>30</v>
      </c>
      <c r="D5" s="2" t="s">
        <v>32</v>
      </c>
      <c r="E5" s="2" t="s">
        <v>33</v>
      </c>
      <c r="F5" s="4">
        <v>19</v>
      </c>
      <c r="G5" s="2" t="s">
        <v>14</v>
      </c>
      <c r="H5" s="4">
        <v>45</v>
      </c>
      <c r="I5" s="5">
        <v>3600000</v>
      </c>
      <c r="J5" s="2" t="s">
        <v>15</v>
      </c>
      <c r="K5" s="2" t="s">
        <v>16</v>
      </c>
    </row>
    <row r="6" spans="1:11" ht="18.75" outlineLevel="4" x14ac:dyDescent="0.3">
      <c r="A6" s="2">
        <v>8</v>
      </c>
      <c r="B6" s="2">
        <v>2001560467</v>
      </c>
      <c r="C6" s="3" t="s">
        <v>30</v>
      </c>
      <c r="D6" s="2" t="s">
        <v>25</v>
      </c>
      <c r="E6" s="2" t="s">
        <v>34</v>
      </c>
      <c r="F6" s="4">
        <v>21</v>
      </c>
      <c r="G6" s="2" t="s">
        <v>14</v>
      </c>
      <c r="H6" s="4">
        <v>46</v>
      </c>
      <c r="I6" s="5">
        <v>3600000</v>
      </c>
      <c r="J6" s="2" t="s">
        <v>20</v>
      </c>
      <c r="K6" s="2" t="s">
        <v>16</v>
      </c>
    </row>
    <row r="7" spans="1:11" ht="18.75" outlineLevel="4" x14ac:dyDescent="0.3">
      <c r="A7" s="2">
        <v>9</v>
      </c>
      <c r="B7" s="2">
        <v>2001560470</v>
      </c>
      <c r="C7" s="3" t="s">
        <v>30</v>
      </c>
      <c r="D7" s="2" t="s">
        <v>35</v>
      </c>
      <c r="E7" s="2" t="s">
        <v>36</v>
      </c>
      <c r="F7" s="4">
        <v>20</v>
      </c>
      <c r="G7" s="2" t="s">
        <v>24</v>
      </c>
      <c r="H7" s="4">
        <v>78</v>
      </c>
      <c r="I7" s="5">
        <v>5200000</v>
      </c>
      <c r="J7" s="2" t="s">
        <v>15</v>
      </c>
      <c r="K7" s="2" t="s">
        <v>16</v>
      </c>
    </row>
    <row r="8" spans="1:11" ht="18.75" outlineLevel="4" x14ac:dyDescent="0.3">
      <c r="A8" s="2">
        <v>10</v>
      </c>
      <c r="B8" s="2">
        <v>2001560473</v>
      </c>
      <c r="C8" s="3" t="s">
        <v>30</v>
      </c>
      <c r="D8" s="2" t="s">
        <v>37</v>
      </c>
      <c r="E8" s="2" t="s">
        <v>38</v>
      </c>
      <c r="F8" s="4">
        <v>19</v>
      </c>
      <c r="G8" s="2" t="s">
        <v>24</v>
      </c>
      <c r="H8" s="4">
        <v>87</v>
      </c>
      <c r="I8" s="5">
        <v>5200000</v>
      </c>
      <c r="J8" s="2" t="s">
        <v>20</v>
      </c>
      <c r="K8" s="2" t="s">
        <v>16</v>
      </c>
    </row>
    <row r="9" spans="1:11" ht="18.75" outlineLevel="4" x14ac:dyDescent="0.3">
      <c r="A9" s="2">
        <v>11</v>
      </c>
      <c r="B9" s="2">
        <v>2001560476</v>
      </c>
      <c r="C9" s="3" t="s">
        <v>30</v>
      </c>
      <c r="D9" s="2" t="s">
        <v>17</v>
      </c>
      <c r="E9" s="2" t="s">
        <v>39</v>
      </c>
      <c r="F9" s="4">
        <v>20</v>
      </c>
      <c r="G9" s="2" t="s">
        <v>14</v>
      </c>
      <c r="H9" s="4">
        <v>56</v>
      </c>
      <c r="I9" s="5">
        <v>3600000</v>
      </c>
      <c r="J9" s="2" t="s">
        <v>15</v>
      </c>
      <c r="K9" s="2" t="s">
        <v>16</v>
      </c>
    </row>
    <row r="10" spans="1:11" ht="18.75" outlineLevel="4" x14ac:dyDescent="0.3">
      <c r="A10" s="2">
        <v>12</v>
      </c>
      <c r="B10" s="2">
        <v>2001560479</v>
      </c>
      <c r="C10" s="3" t="s">
        <v>30</v>
      </c>
      <c r="D10" s="2" t="s">
        <v>25</v>
      </c>
      <c r="E10" s="2" t="s">
        <v>40</v>
      </c>
      <c r="F10" s="4">
        <v>21</v>
      </c>
      <c r="G10" s="2" t="s">
        <v>14</v>
      </c>
      <c r="H10" s="4">
        <v>61</v>
      </c>
      <c r="I10" s="5">
        <v>3600000</v>
      </c>
      <c r="J10" s="2" t="s">
        <v>20</v>
      </c>
      <c r="K10" s="2" t="s">
        <v>16</v>
      </c>
    </row>
    <row r="11" spans="1:11" ht="18.75" outlineLevel="4" x14ac:dyDescent="0.3">
      <c r="A11" s="2">
        <v>15</v>
      </c>
      <c r="B11" s="2">
        <v>2101560488</v>
      </c>
      <c r="C11" s="3" t="s">
        <v>41</v>
      </c>
      <c r="D11" s="2" t="s">
        <v>25</v>
      </c>
      <c r="E11" s="2" t="s">
        <v>45</v>
      </c>
      <c r="F11" s="4">
        <v>19</v>
      </c>
      <c r="G11" s="2" t="s">
        <v>14</v>
      </c>
      <c r="H11" s="4">
        <v>87</v>
      </c>
      <c r="I11" s="5">
        <v>3600000</v>
      </c>
      <c r="J11" s="2" t="s">
        <v>15</v>
      </c>
      <c r="K11" s="2" t="s">
        <v>16</v>
      </c>
    </row>
    <row r="12" spans="1:11" ht="18.75" outlineLevel="4" x14ac:dyDescent="0.3">
      <c r="A12" s="2">
        <v>17</v>
      </c>
      <c r="B12" s="2">
        <v>2101560494</v>
      </c>
      <c r="C12" s="3" t="s">
        <v>41</v>
      </c>
      <c r="D12" s="2" t="s">
        <v>32</v>
      </c>
      <c r="E12" s="2" t="s">
        <v>47</v>
      </c>
      <c r="F12" s="4">
        <v>18</v>
      </c>
      <c r="G12" s="2" t="s">
        <v>14</v>
      </c>
      <c r="H12" s="4">
        <v>89</v>
      </c>
      <c r="I12" s="5">
        <v>3600000</v>
      </c>
      <c r="J12" s="2" t="s">
        <v>15</v>
      </c>
      <c r="K12" s="2" t="s">
        <v>16</v>
      </c>
    </row>
    <row r="13" spans="1:11" ht="18.75" outlineLevel="4" x14ac:dyDescent="0.3">
      <c r="A13" s="2">
        <v>18</v>
      </c>
      <c r="B13" s="2">
        <v>2101560497</v>
      </c>
      <c r="C13" s="3" t="s">
        <v>41</v>
      </c>
      <c r="D13" s="2" t="s">
        <v>28</v>
      </c>
      <c r="E13" s="2" t="s">
        <v>48</v>
      </c>
      <c r="F13" s="4">
        <v>19</v>
      </c>
      <c r="G13" s="2" t="s">
        <v>27</v>
      </c>
      <c r="H13" s="4">
        <v>90</v>
      </c>
      <c r="I13" s="5">
        <v>7300000</v>
      </c>
      <c r="J13" s="2" t="s">
        <v>20</v>
      </c>
      <c r="K13" s="2" t="s">
        <v>16</v>
      </c>
    </row>
    <row r="14" spans="1:11" ht="18.75" outlineLevel="4" x14ac:dyDescent="0.3">
      <c r="A14" s="2">
        <v>20</v>
      </c>
      <c r="B14" s="2">
        <v>2101560503</v>
      </c>
      <c r="C14" s="3" t="s">
        <v>41</v>
      </c>
      <c r="D14" s="2" t="s">
        <v>51</v>
      </c>
      <c r="E14" s="2" t="s">
        <v>52</v>
      </c>
      <c r="F14" s="4">
        <v>20</v>
      </c>
      <c r="G14" s="2" t="s">
        <v>27</v>
      </c>
      <c r="H14" s="4">
        <v>69</v>
      </c>
      <c r="I14" s="5">
        <v>7300000</v>
      </c>
      <c r="J14" s="2" t="s">
        <v>20</v>
      </c>
      <c r="K14" s="2" t="s">
        <v>16</v>
      </c>
    </row>
    <row r="15" spans="1:11" ht="18.75" outlineLevel="3" x14ac:dyDescent="0.3">
      <c r="A15" s="2"/>
      <c r="B15" s="2"/>
      <c r="C15" s="3"/>
      <c r="D15" s="2"/>
      <c r="E15" s="2"/>
      <c r="F15" s="4"/>
      <c r="G15" s="2"/>
      <c r="H15" s="4"/>
      <c r="I15" s="5">
        <f>SUBTOTAL(1,I2:I14)</f>
        <v>4453846.153846154</v>
      </c>
      <c r="J15" s="2"/>
      <c r="K15" s="6" t="s">
        <v>59</v>
      </c>
    </row>
    <row r="16" spans="1:11" ht="18.75" outlineLevel="2" x14ac:dyDescent="0.3">
      <c r="A16" s="2"/>
      <c r="B16" s="2"/>
      <c r="C16" s="3"/>
      <c r="D16" s="2"/>
      <c r="E16" s="2"/>
      <c r="F16" s="4"/>
      <c r="G16" s="2"/>
      <c r="H16" s="4">
        <f>SUBTOTAL(4,H2:H14)</f>
        <v>90</v>
      </c>
      <c r="I16" s="5"/>
      <c r="J16" s="2"/>
      <c r="K16" s="6" t="s">
        <v>56</v>
      </c>
    </row>
    <row r="17" spans="1:11" ht="18.75" outlineLevel="1" x14ac:dyDescent="0.3">
      <c r="A17" s="2"/>
      <c r="B17" s="2"/>
      <c r="C17" s="3"/>
      <c r="D17" s="2"/>
      <c r="E17" s="2"/>
      <c r="F17" s="4"/>
      <c r="G17" s="2"/>
      <c r="H17" s="4"/>
      <c r="I17" s="5">
        <f>SUBTOTAL(9,I2:I14)</f>
        <v>57900000</v>
      </c>
      <c r="J17" s="2"/>
      <c r="K17" s="6" t="s">
        <v>53</v>
      </c>
    </row>
    <row r="18" spans="1:11" ht="18.75" outlineLevel="4" x14ac:dyDescent="0.3">
      <c r="A18" s="2">
        <v>2</v>
      </c>
      <c r="B18" s="2">
        <v>1901560449</v>
      </c>
      <c r="C18" s="3" t="s">
        <v>11</v>
      </c>
      <c r="D18" s="2" t="s">
        <v>17</v>
      </c>
      <c r="E18" s="2" t="s">
        <v>18</v>
      </c>
      <c r="F18" s="4">
        <v>25</v>
      </c>
      <c r="G18" s="2" t="s">
        <v>19</v>
      </c>
      <c r="H18" s="4">
        <v>98</v>
      </c>
      <c r="I18" s="5">
        <v>4100000</v>
      </c>
      <c r="J18" s="2" t="s">
        <v>20</v>
      </c>
      <c r="K18" s="2" t="s">
        <v>21</v>
      </c>
    </row>
    <row r="19" spans="1:11" ht="18.75" outlineLevel="4" x14ac:dyDescent="0.3">
      <c r="A19" s="2">
        <v>3</v>
      </c>
      <c r="B19" s="2">
        <v>1901560452</v>
      </c>
      <c r="C19" s="3" t="s">
        <v>11</v>
      </c>
      <c r="D19" s="2" t="s">
        <v>22</v>
      </c>
      <c r="E19" s="2" t="s">
        <v>23</v>
      </c>
      <c r="F19" s="4">
        <v>22</v>
      </c>
      <c r="G19" s="2" t="s">
        <v>24</v>
      </c>
      <c r="H19" s="4">
        <v>25</v>
      </c>
      <c r="I19" s="5">
        <v>5200000</v>
      </c>
      <c r="J19" s="2" t="s">
        <v>20</v>
      </c>
      <c r="K19" s="2" t="s">
        <v>21</v>
      </c>
    </row>
    <row r="20" spans="1:11" ht="18.75" outlineLevel="4" x14ac:dyDescent="0.3">
      <c r="A20" s="2">
        <v>4</v>
      </c>
      <c r="B20" s="2">
        <v>1901560455</v>
      </c>
      <c r="C20" s="3" t="s">
        <v>11</v>
      </c>
      <c r="D20" s="2" t="s">
        <v>25</v>
      </c>
      <c r="E20" s="2" t="s">
        <v>26</v>
      </c>
      <c r="F20" s="4">
        <v>23</v>
      </c>
      <c r="G20" s="2" t="s">
        <v>27</v>
      </c>
      <c r="H20" s="4">
        <v>68</v>
      </c>
      <c r="I20" s="5">
        <v>7300000</v>
      </c>
      <c r="J20" s="2" t="s">
        <v>20</v>
      </c>
      <c r="K20" s="2" t="s">
        <v>21</v>
      </c>
    </row>
    <row r="21" spans="1:11" ht="18.75" outlineLevel="4" x14ac:dyDescent="0.3">
      <c r="A21" s="2">
        <v>13</v>
      </c>
      <c r="B21" s="2">
        <v>2101560482</v>
      </c>
      <c r="C21" s="3" t="s">
        <v>41</v>
      </c>
      <c r="D21" s="2" t="s">
        <v>42</v>
      </c>
      <c r="E21" s="2" t="s">
        <v>43</v>
      </c>
      <c r="F21" s="4">
        <v>19</v>
      </c>
      <c r="G21" s="2" t="s">
        <v>27</v>
      </c>
      <c r="H21" s="4">
        <v>32</v>
      </c>
      <c r="I21" s="5">
        <v>7300000</v>
      </c>
      <c r="J21" s="2" t="s">
        <v>20</v>
      </c>
      <c r="K21" s="2" t="s">
        <v>21</v>
      </c>
    </row>
    <row r="22" spans="1:11" ht="18.75" outlineLevel="4" x14ac:dyDescent="0.3">
      <c r="A22" s="2">
        <v>14</v>
      </c>
      <c r="B22" s="2">
        <v>2101560485</v>
      </c>
      <c r="C22" s="3" t="s">
        <v>41</v>
      </c>
      <c r="D22" s="2" t="s">
        <v>42</v>
      </c>
      <c r="E22" s="2" t="s">
        <v>44</v>
      </c>
      <c r="F22" s="4">
        <v>18</v>
      </c>
      <c r="G22" s="2" t="s">
        <v>27</v>
      </c>
      <c r="H22" s="4">
        <v>18</v>
      </c>
      <c r="I22" s="5">
        <v>7300000</v>
      </c>
      <c r="J22" s="2" t="s">
        <v>20</v>
      </c>
      <c r="K22" s="2" t="s">
        <v>21</v>
      </c>
    </row>
    <row r="23" spans="1:11" ht="18.75" outlineLevel="4" x14ac:dyDescent="0.3">
      <c r="A23" s="2">
        <v>16</v>
      </c>
      <c r="B23" s="2">
        <v>2101560491</v>
      </c>
      <c r="C23" s="3" t="s">
        <v>41</v>
      </c>
      <c r="D23" s="2" t="s">
        <v>42</v>
      </c>
      <c r="E23" s="2" t="s">
        <v>46</v>
      </c>
      <c r="F23" s="4">
        <v>20</v>
      </c>
      <c r="G23" s="2" t="s">
        <v>14</v>
      </c>
      <c r="H23" s="4">
        <v>88</v>
      </c>
      <c r="I23" s="5">
        <v>3600000</v>
      </c>
      <c r="J23" s="2" t="s">
        <v>20</v>
      </c>
      <c r="K23" s="2" t="s">
        <v>21</v>
      </c>
    </row>
    <row r="24" spans="1:11" ht="18.75" outlineLevel="4" x14ac:dyDescent="0.3">
      <c r="A24" s="2">
        <v>19</v>
      </c>
      <c r="B24" s="2">
        <v>2101560500</v>
      </c>
      <c r="C24" s="3" t="s">
        <v>41</v>
      </c>
      <c r="D24" s="2" t="s">
        <v>49</v>
      </c>
      <c r="E24" s="2" t="s">
        <v>50</v>
      </c>
      <c r="F24" s="4">
        <v>19</v>
      </c>
      <c r="G24" s="2" t="s">
        <v>14</v>
      </c>
      <c r="H24" s="4">
        <v>100</v>
      </c>
      <c r="I24" s="5">
        <v>3600000</v>
      </c>
      <c r="J24" s="2" t="s">
        <v>20</v>
      </c>
      <c r="K24" s="2" t="s">
        <v>21</v>
      </c>
    </row>
    <row r="25" spans="1:11" ht="18.75" outlineLevel="3" x14ac:dyDescent="0.3">
      <c r="A25" s="7"/>
      <c r="B25" s="7"/>
      <c r="C25" s="8"/>
      <c r="D25" s="7"/>
      <c r="E25" s="7"/>
      <c r="F25" s="9"/>
      <c r="G25" s="7"/>
      <c r="H25" s="9"/>
      <c r="I25" s="10">
        <f>SUBTOTAL(1,I18:I24)</f>
        <v>5485714.2857142854</v>
      </c>
      <c r="J25" s="7"/>
      <c r="K25" s="11" t="s">
        <v>60</v>
      </c>
    </row>
    <row r="26" spans="1:11" ht="18.75" outlineLevel="2" x14ac:dyDescent="0.3">
      <c r="A26" s="7"/>
      <c r="B26" s="7"/>
      <c r="C26" s="8"/>
      <c r="D26" s="7"/>
      <c r="E26" s="7"/>
      <c r="F26" s="9"/>
      <c r="G26" s="7"/>
      <c r="H26" s="9">
        <f>SUBTOTAL(4,H18:H24)</f>
        <v>100</v>
      </c>
      <c r="I26" s="10"/>
      <c r="J26" s="7"/>
      <c r="K26" s="11" t="s">
        <v>57</v>
      </c>
    </row>
    <row r="27" spans="1:11" ht="18.75" outlineLevel="1" x14ac:dyDescent="0.3">
      <c r="A27" s="7"/>
      <c r="B27" s="7"/>
      <c r="C27" s="8"/>
      <c r="D27" s="7"/>
      <c r="E27" s="7"/>
      <c r="F27" s="9"/>
      <c r="G27" s="7"/>
      <c r="H27" s="9"/>
      <c r="I27" s="10">
        <f>SUBTOTAL(9,I18:I24)</f>
        <v>38400000</v>
      </c>
      <c r="J27" s="7"/>
      <c r="K27" s="11" t="s">
        <v>54</v>
      </c>
    </row>
    <row r="28" spans="1:11" ht="18.75" x14ac:dyDescent="0.3">
      <c r="A28" s="7"/>
      <c r="B28" s="7"/>
      <c r="C28" s="8"/>
      <c r="D28" s="7"/>
      <c r="E28" s="7"/>
      <c r="F28" s="9"/>
      <c r="G28" s="7"/>
      <c r="H28" s="9"/>
      <c r="I28" s="10">
        <f>SUBTOTAL(1,I2:I24)</f>
        <v>4815000</v>
      </c>
      <c r="J28" s="7"/>
      <c r="K28" s="11" t="s">
        <v>61</v>
      </c>
    </row>
    <row r="29" spans="1:11" ht="18.75" x14ac:dyDescent="0.3">
      <c r="A29" s="7"/>
      <c r="B29" s="7"/>
      <c r="C29" s="8"/>
      <c r="D29" s="7"/>
      <c r="E29" s="7"/>
      <c r="F29" s="9"/>
      <c r="G29" s="7"/>
      <c r="H29" s="9">
        <f>SUBTOTAL(4,H2:H24)</f>
        <v>100</v>
      </c>
      <c r="I29" s="10"/>
      <c r="J29" s="7"/>
      <c r="K29" s="11" t="s">
        <v>58</v>
      </c>
    </row>
    <row r="30" spans="1:11" ht="18.75" x14ac:dyDescent="0.3">
      <c r="A30" s="7"/>
      <c r="B30" s="7"/>
      <c r="C30" s="8"/>
      <c r="D30" s="7"/>
      <c r="E30" s="7"/>
      <c r="F30" s="9"/>
      <c r="G30" s="7"/>
      <c r="H30" s="9"/>
      <c r="I30" s="10">
        <f>SUBTOTAL(9,I2:I24)</f>
        <v>96300000</v>
      </c>
      <c r="J30" s="7"/>
      <c r="K30" s="11" t="s">
        <v>55</v>
      </c>
    </row>
  </sheetData>
  <sortState xmlns:xlrd2="http://schemas.microsoft.com/office/spreadsheetml/2017/richdata2" ref="A2:K24">
    <sortCondition ref="K2:K24" customList="High Merit,Summa Cum Laude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EBF01-C015-9046-9E5B-D98B624E40B4}">
  <dimension ref="A1"/>
  <sheetViews>
    <sheetView workbookViewId="0">
      <selection activeCell="C19" sqref="C19"/>
    </sheetView>
  </sheetViews>
  <sheetFormatPr defaultColWidth="11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UTAMA</vt:lpstr>
      <vt:lpstr>SUBTOTAL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Lenovo</cp:lastModifiedBy>
  <dcterms:created xsi:type="dcterms:W3CDTF">2021-03-24T15:35:02Z</dcterms:created>
  <dcterms:modified xsi:type="dcterms:W3CDTF">2026-03-18T03:39:50Z</dcterms:modified>
</cp:coreProperties>
</file>