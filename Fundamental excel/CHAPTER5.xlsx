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cuments\Fundamental excel\"/>
    </mc:Choice>
  </mc:AlternateContent>
  <xr:revisionPtr revIDLastSave="0" documentId="13_ncr:1_{619DAA89-A420-4D1A-BD8B-D2F530019002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PEMBAHASAN_CHAPTER5" sheetId="2" r:id="rId1"/>
    <sheet name="KUNCI_VIDEO_CHAPTER5" sheetId="1" r:id="rId2"/>
    <sheet name="TEMPLATE_VIDEO_CHAPTER5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K35" i="3" l="1"/>
  <c r="K34" i="3"/>
  <c r="K33" i="3"/>
  <c r="K32" i="3"/>
  <c r="K31" i="3"/>
  <c r="K30" i="3"/>
  <c r="K29" i="3"/>
  <c r="K28" i="3"/>
  <c r="K27" i="3"/>
  <c r="K26" i="3"/>
  <c r="K25" i="3" l="1"/>
  <c r="G25" i="3"/>
  <c r="C25" i="3"/>
  <c r="K24" i="3"/>
  <c r="G24" i="3"/>
  <c r="C24" i="3"/>
  <c r="K23" i="3"/>
  <c r="G23" i="3"/>
  <c r="C23" i="3"/>
  <c r="K22" i="3"/>
  <c r="G22" i="3"/>
  <c r="C22" i="3"/>
  <c r="K21" i="3"/>
  <c r="G21" i="3"/>
  <c r="C21" i="3"/>
  <c r="K20" i="3"/>
  <c r="G20" i="3"/>
  <c r="C20" i="3"/>
  <c r="K19" i="3"/>
  <c r="G19" i="3"/>
  <c r="C19" i="3"/>
  <c r="K18" i="3"/>
  <c r="G18" i="3"/>
  <c r="C18" i="3"/>
  <c r="K17" i="3"/>
  <c r="G17" i="3"/>
  <c r="C17" i="3"/>
  <c r="K16" i="3"/>
  <c r="G16" i="3"/>
  <c r="C16" i="3"/>
  <c r="K15" i="3"/>
  <c r="G15" i="3"/>
  <c r="C15" i="3"/>
  <c r="K14" i="3"/>
  <c r="G14" i="3"/>
  <c r="C14" i="3"/>
  <c r="K13" i="3"/>
  <c r="G13" i="3"/>
  <c r="C13" i="3"/>
  <c r="K12" i="3"/>
  <c r="G12" i="3"/>
  <c r="C12" i="3"/>
  <c r="K11" i="3"/>
  <c r="G11" i="3"/>
  <c r="C11" i="3"/>
  <c r="K10" i="3"/>
  <c r="G10" i="3"/>
  <c r="C10" i="3"/>
  <c r="K9" i="3"/>
  <c r="G9" i="3"/>
  <c r="C9" i="3"/>
  <c r="K8" i="3"/>
  <c r="G8" i="3"/>
  <c r="C8" i="3"/>
  <c r="K7" i="3"/>
  <c r="G7" i="3"/>
  <c r="C7" i="3"/>
  <c r="K6" i="3"/>
  <c r="G6" i="3"/>
  <c r="C6" i="3"/>
  <c r="G3" i="3"/>
  <c r="G2" i="3"/>
  <c r="K35" i="1"/>
  <c r="K34" i="1"/>
  <c r="K33" i="1"/>
  <c r="K32" i="1"/>
  <c r="K31" i="1"/>
  <c r="K30" i="1"/>
  <c r="K29" i="1"/>
  <c r="K28" i="1"/>
  <c r="K27" i="1"/>
  <c r="K26" i="1"/>
  <c r="K7" i="1" l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6" i="1"/>
  <c r="G3" i="1"/>
  <c r="G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prk</author>
  </authors>
  <commentList>
    <comment ref="D2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Hitung Gaji tertinggi</t>
        </r>
      </text>
    </comment>
    <comment ref="D3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Hitung Gaji terendah</t>
        </r>
      </text>
    </comment>
    <comment ref="D4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Hitung jumlah Karyawan pada tabel Resource</t>
        </r>
      </text>
    </comment>
    <comment ref="D5" authorId="0" shapeId="0" xr:uid="{00000000-0006-0000-0000-000004000000}">
      <text>
        <r>
          <rPr>
            <b/>
            <sz val="9"/>
            <color rgb="FF000000"/>
            <rFont val="Tahoma"/>
            <family val="2"/>
          </rPr>
          <t>Hitung jumlah Karyawan pada tabel Resource berdasarkan Nama</t>
        </r>
      </text>
    </comment>
    <comment ref="D6" authorId="0" shapeId="0" xr:uid="{00000000-0006-0000-0000-000005000000}">
      <text>
        <r>
          <rPr>
            <b/>
            <sz val="9"/>
            <color rgb="FF000000"/>
            <rFont val="Tahoma"/>
            <family val="2"/>
          </rPr>
          <t>Hitung Cell kosong pada tabel Resource</t>
        </r>
      </text>
    </comment>
    <comment ref="D7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Hitung Karyawan dengan gender Pria</t>
        </r>
      </text>
    </comment>
    <comment ref="D8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Hitung karyawan yang berawalan huruf M dan gender pria</t>
        </r>
      </text>
    </comment>
    <comment ref="D9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Hitung total gaji karyawan</t>
        </r>
      </text>
    </comment>
    <comment ref="D10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Hitung total gaji karyawan wanita</t>
        </r>
      </text>
    </comment>
    <comment ref="D11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Hitung total gaji karyawan pria yang huruf kedua terakhirnya adalah "e"</t>
        </r>
      </text>
    </comment>
    <comment ref="D12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Hitung rata-rata gaji karyawan</t>
        </r>
      </text>
    </comment>
    <comment ref="D13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hitung rata-rata gaji karyawan wanita</t>
        </r>
      </text>
    </comment>
    <comment ref="D14" authorId="0" shapeId="0" xr:uid="{00000000-0006-0000-0000-00000D000000}">
      <text>
        <r>
          <rPr>
            <b/>
            <sz val="9"/>
            <color rgb="FF000000"/>
            <rFont val="Tahoma"/>
            <family val="2"/>
          </rPr>
          <t>Hitung rata-rata gaji karyawan pria dengan jabatan CEO</t>
        </r>
      </text>
    </comment>
  </commentList>
</comments>
</file>

<file path=xl/sharedStrings.xml><?xml version="1.0" encoding="utf-8"?>
<sst xmlns="http://schemas.openxmlformats.org/spreadsheetml/2006/main" count="229" uniqueCount="106">
  <si>
    <t>Padang</t>
  </si>
  <si>
    <t>Karen Rose</t>
  </si>
  <si>
    <t>Bandung</t>
  </si>
  <si>
    <t>Sarah Smith</t>
  </si>
  <si>
    <t>Makasar</t>
  </si>
  <si>
    <t>Susan Brown</t>
  </si>
  <si>
    <t>Sumatera</t>
  </si>
  <si>
    <t xml:space="preserve">Paul Garcia </t>
  </si>
  <si>
    <t>Sulawesi</t>
  </si>
  <si>
    <t>Kimberly Thomson</t>
  </si>
  <si>
    <t>David Rogers</t>
  </si>
  <si>
    <t>Jakarta</t>
  </si>
  <si>
    <t>Nancy Shaw</t>
  </si>
  <si>
    <t>Steven Lloyd</t>
  </si>
  <si>
    <t>Banten</t>
  </si>
  <si>
    <t>George Russel</t>
  </si>
  <si>
    <t>Mark Stewart</t>
  </si>
  <si>
    <t>Lisa Simpson</t>
  </si>
  <si>
    <t>Patricia Collins</t>
  </si>
  <si>
    <t>Edward Bennett</t>
  </si>
  <si>
    <t>William Gray</t>
  </si>
  <si>
    <t>Lampung</t>
  </si>
  <si>
    <t>Robert Bailey</t>
  </si>
  <si>
    <t>Sandra Bell</t>
  </si>
  <si>
    <t>Helen Murphy</t>
  </si>
  <si>
    <t xml:space="preserve">Michael Miller </t>
  </si>
  <si>
    <t>Caroline Shah</t>
  </si>
  <si>
    <t>John Richardson</t>
  </si>
  <si>
    <t>Total Peminjaman</t>
  </si>
  <si>
    <t>Tenor Kredit</t>
  </si>
  <si>
    <t>Biaya Kredit</t>
  </si>
  <si>
    <t>Usia</t>
  </si>
  <si>
    <t>Kode Nasabah</t>
  </si>
  <si>
    <t>Tanggal Lahir</t>
  </si>
  <si>
    <t>Tempat Lahir</t>
  </si>
  <si>
    <t>Inisial</t>
  </si>
  <si>
    <t>Nama</t>
  </si>
  <si>
    <t>No</t>
  </si>
  <si>
    <t>Pukul :</t>
  </si>
  <si>
    <t>Tanggal Pembuatan :</t>
  </si>
  <si>
    <t>DATA NASABAH BANK CBA TAHUN 2018</t>
  </si>
  <si>
    <t>Biaya kredit terendah</t>
  </si>
  <si>
    <t>Biaya kredit tertinggi</t>
  </si>
  <si>
    <t>Jumlah nasabah laki-laki</t>
  </si>
  <si>
    <t>Total biaya kredit</t>
  </si>
  <si>
    <t>Jenis Kelamin</t>
  </si>
  <si>
    <t>Laki-laki</t>
  </si>
  <si>
    <t>Perempuan</t>
  </si>
  <si>
    <t>Total peminjaman nasabah perempuan</t>
  </si>
  <si>
    <t>FUNGSI</t>
  </si>
  <si>
    <t>TUJUAN</t>
  </si>
  <si>
    <t>FORMULA</t>
  </si>
  <si>
    <t>MAX</t>
  </si>
  <si>
    <t>Mencari nilai tertinggi</t>
  </si>
  <si>
    <t>Resource:</t>
  </si>
  <si>
    <t>MIN</t>
  </si>
  <si>
    <t>Mencari nilai terendah</t>
  </si>
  <si>
    <t>Gender</t>
  </si>
  <si>
    <t>Jabatan</t>
  </si>
  <si>
    <t>Gaji</t>
  </si>
  <si>
    <t>COUNT</t>
  </si>
  <si>
    <t>Menghitung jumlah cell dalam range yang mengandung angka</t>
  </si>
  <si>
    <t>James</t>
  </si>
  <si>
    <t>Pria</t>
  </si>
  <si>
    <t>CEO</t>
  </si>
  <si>
    <t>COUNTA</t>
  </si>
  <si>
    <t>Menghitung jumlah cell dalam range yang tidak kosong</t>
  </si>
  <si>
    <t>Maria</t>
  </si>
  <si>
    <t>Wanita</t>
  </si>
  <si>
    <t>Secretary</t>
  </si>
  <si>
    <t>COUNTBLANK</t>
  </si>
  <si>
    <t>Menghitung jumlah cell dalam range yang kosong</t>
  </si>
  <si>
    <t>Michael</t>
  </si>
  <si>
    <t>HR</t>
  </si>
  <si>
    <t>COUNTIF</t>
  </si>
  <si>
    <t>Menghitung jumlah cell dalam range dengan 1 kriteria</t>
  </si>
  <si>
    <t>Angel</t>
  </si>
  <si>
    <t>Finance</t>
  </si>
  <si>
    <t>COUNTIFS</t>
  </si>
  <si>
    <t>Menghitung jumlah cell dalam range dengan &gt;1 kriteria</t>
  </si>
  <si>
    <t>Peter</t>
  </si>
  <si>
    <t>Accounting</t>
  </si>
  <si>
    <t>SUM</t>
  </si>
  <si>
    <t>Menjumlahkan seluruh angka dalam range</t>
  </si>
  <si>
    <t>Kelvin</t>
  </si>
  <si>
    <t>Marketing</t>
  </si>
  <si>
    <t>SUMIF</t>
  </si>
  <si>
    <t>Menjumlahkan seluruh angka dalam range dengan 1 kriteria</t>
  </si>
  <si>
    <t>SUMIFS</t>
  </si>
  <si>
    <t>Menjumlahkan seluruh angka dalam range dengan &gt;1 kriteria</t>
  </si>
  <si>
    <t>AVERAGE</t>
  </si>
  <si>
    <t>Merata-ratakan seluruh angka dalam range</t>
  </si>
  <si>
    <t>AVERAGEIF</t>
  </si>
  <si>
    <t>Merata-ratakan seluruh angka dalam range dengan 1 kriteria</t>
  </si>
  <si>
    <t>AVERAGEIFS</t>
  </si>
  <si>
    <t>Merata-ratakan seluruh angka dalam range dengan &gt;1 kriteria</t>
  </si>
  <si>
    <t>Rata-Rata Total  Peminjaman</t>
  </si>
  <si>
    <t>Jumlah nasabah dengan  tempat lahir di Jakarta</t>
  </si>
  <si>
    <t>Jumlah nasabah Perempuan yang lahir di Sulawesi</t>
  </si>
  <si>
    <t>Rata-Rata Biaya Kredit dengan tenor 9 Bulan</t>
  </si>
  <si>
    <t>Total peminjaman nasabah laki-laki dengan usia 27 tahun</t>
  </si>
  <si>
    <t>kudus</t>
  </si>
  <si>
    <t>palembang</t>
  </si>
  <si>
    <t>anak</t>
  </si>
  <si>
    <t>ewmaja</t>
  </si>
  <si>
    <t>dwwasa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</si>
</sst>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General\ &quot;tahun&quot;"/>
    <numFmt numFmtId="165" formatCode="[$-F400]h:mm:ss\ AM/PM"/>
    <numFmt numFmtId="166" formatCode="_-[$Rp-421]* #,##0.00_-;\-[$Rp-421]* #,##0.00_-;_-[$Rp-421]* &quot;-&quot;??_-;_-@_-"/>
    <numFmt numFmtId="167" formatCode="General\ &quot;bulan&quot;"/>
    <numFmt numFmtId="168" formatCode="_(&quot;$&quot;* #,##0.00_);_(&quot;$&quot;* \(#,##0.00\);_(&quot;$&quot;* &quot;-&quot;??_);_(@_)"/>
    <numFmt numFmtId="169" formatCode="_-[$Rp-421]* #,##0_-;\-[$Rp-421]* #,##0_-;_-[$Rp-421]* &quot;-&quot;_-;_-@_-"/>
    <numFmt numFmtId="170" formatCode="General\ &quot;Nasabah&quot;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b/>
      <sz val="9"/>
      <color rgb="FF000000"/>
      <name val="Tahoma"/>
      <family val="2"/>
    </font>
    <font>
      <sz val="16"/>
      <color theme="1"/>
      <name val="Times New Roman"/>
      <family val="1"/>
    </font>
    <font>
      <sz val="11"/>
      <color theme="1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168" fontId="1" fillId="0" borderId="0" applyFont="0" applyFill="0" applyBorder="0" applyAlignment="0" applyProtection="0"/>
  </cellStyleXfs>
  <cellXfs count="25">
    <xf numFmtId="0" fontId="0" fillId="0" borderId="0" xfId="0"/>
    <xf numFmtId="0" fontId="2" fillId="4" borderId="1" xfId="0" applyFont="1" applyFill="1" applyBorder="1" applyAlignment="1">
      <alignment horizontal="center" vertical="center"/>
    </xf>
    <xf numFmtId="0" fontId="0" fillId="5" borderId="1" xfId="0" applyFill="1" applyBorder="1"/>
    <xf numFmtId="0" fontId="3" fillId="0" borderId="0" xfId="0" applyFont="1"/>
    <xf numFmtId="0" fontId="0" fillId="0" borderId="1" xfId="0" applyBorder="1"/>
    <xf numFmtId="0" fontId="0" fillId="6" borderId="1" xfId="0" applyFill="1" applyBorder="1"/>
    <xf numFmtId="0" fontId="0" fillId="6" borderId="1" xfId="0" applyFill="1" applyBorder="1" applyAlignment="1">
      <alignment horizontal="center" vertical="center"/>
    </xf>
    <xf numFmtId="169" fontId="0" fillId="0" borderId="1" xfId="1" applyNumberFormat="1" applyFont="1" applyBorder="1"/>
    <xf numFmtId="0" fontId="7" fillId="0" borderId="0" xfId="0" applyFont="1"/>
    <xf numFmtId="14" fontId="7" fillId="0" borderId="0" xfId="0" applyNumberFormat="1" applyFont="1"/>
    <xf numFmtId="165" fontId="7" fillId="0" borderId="0" xfId="0" applyNumberFormat="1" applyFont="1"/>
    <xf numFmtId="0" fontId="7" fillId="2" borderId="1" xfId="0" applyFont="1" applyFill="1" applyBorder="1"/>
    <xf numFmtId="0" fontId="7" fillId="3" borderId="1" xfId="0" applyFont="1" applyFill="1" applyBorder="1"/>
    <xf numFmtId="14" fontId="7" fillId="3" borderId="1" xfId="0" applyNumberFormat="1" applyFont="1" applyFill="1" applyBorder="1"/>
    <xf numFmtId="164" fontId="7" fillId="3" borderId="1" xfId="0" applyNumberFormat="1" applyFont="1" applyFill="1" applyBorder="1"/>
    <xf numFmtId="166" fontId="7" fillId="3" borderId="1" xfId="0" applyNumberFormat="1" applyFont="1" applyFill="1" applyBorder="1"/>
    <xf numFmtId="167" fontId="7" fillId="3" borderId="1" xfId="0" applyNumberFormat="1" applyFont="1" applyFill="1" applyBorder="1"/>
    <xf numFmtId="166" fontId="7" fillId="0" borderId="1" xfId="0" applyNumberFormat="1" applyFont="1" applyBorder="1"/>
    <xf numFmtId="169" fontId="7" fillId="0" borderId="1" xfId="0" applyNumberFormat="1" applyFont="1" applyBorder="1"/>
    <xf numFmtId="170" fontId="7" fillId="0" borderId="1" xfId="0" applyNumberFormat="1" applyFont="1" applyBorder="1"/>
    <xf numFmtId="0" fontId="0" fillId="7" borderId="2" xfId="0" applyFill="1" applyBorder="1" applyAlignment="1">
      <alignment horizontal="center" vertical="center"/>
    </xf>
    <xf numFmtId="0" fontId="0" fillId="8" borderId="2" xfId="0" applyFill="1" applyBorder="1" applyAlignment="1">
      <alignment horizontal="center"/>
    </xf>
    <xf numFmtId="0" fontId="0" fillId="9" borderId="2" xfId="0" applyFill="1" applyBorder="1" applyAlignment="1">
      <alignment horizontal="center"/>
    </xf>
    <xf numFmtId="0" fontId="7" fillId="0" borderId="1" xfId="0" applyFont="1" applyBorder="1" applyAlignment="1">
      <alignment horizontal="right"/>
    </xf>
    <xf numFmtId="0" fontId="6" fillId="2" borderId="0" xfId="0" applyFont="1" applyFill="1" applyAlignment="1">
      <alignment horizontal="center"/>
    </xf>
  </cellXfs>
  <cellStyles count="2">
    <cellStyle name="Currency 2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"/>
  <sheetViews>
    <sheetView showGridLines="0" zoomScaleNormal="100" workbookViewId="0">
      <selection activeCell="D15" sqref="D15"/>
    </sheetView>
  </sheetViews>
  <sheetFormatPr defaultColWidth="8.85546875" defaultRowHeight="15" x14ac:dyDescent="0.25"/>
  <cols>
    <col min="1" max="2" width="13.28515625" bestFit="1" customWidth="1"/>
    <col min="3" max="3" width="55.42578125" customWidth="1"/>
    <col min="4" max="4" width="36.42578125" customWidth="1"/>
    <col min="6" max="6" width="4" customWidth="1"/>
    <col min="7" max="8" width="11.140625" customWidth="1"/>
    <col min="9" max="9" width="12.42578125" customWidth="1"/>
    <col min="10" max="10" width="15.28515625" bestFit="1" customWidth="1"/>
  </cols>
  <sheetData>
    <row r="1" spans="1:10" ht="18.75" x14ac:dyDescent="0.25">
      <c r="B1" s="1" t="s">
        <v>49</v>
      </c>
      <c r="C1" s="1" t="s">
        <v>50</v>
      </c>
      <c r="D1" s="1" t="s">
        <v>51</v>
      </c>
    </row>
    <row r="2" spans="1:10" x14ac:dyDescent="0.25">
      <c r="B2" s="2" t="s">
        <v>52</v>
      </c>
      <c r="C2" s="2" t="s">
        <v>53</v>
      </c>
      <c r="D2" s="2"/>
      <c r="F2" s="3" t="s">
        <v>54</v>
      </c>
    </row>
    <row r="3" spans="1:10" x14ac:dyDescent="0.25">
      <c r="B3" s="4" t="s">
        <v>55</v>
      </c>
      <c r="C3" s="4" t="s">
        <v>56</v>
      </c>
      <c r="D3" s="4"/>
      <c r="F3" s="5" t="s">
        <v>37</v>
      </c>
      <c r="G3" s="6" t="s">
        <v>36</v>
      </c>
      <c r="H3" s="6" t="s">
        <v>57</v>
      </c>
      <c r="I3" s="6" t="s">
        <v>58</v>
      </c>
      <c r="J3" s="6" t="s">
        <v>59</v>
      </c>
    </row>
    <row r="4" spans="1:10" x14ac:dyDescent="0.25">
      <c r="A4" s="20" t="s">
        <v>60</v>
      </c>
      <c r="B4" s="2" t="s">
        <v>60</v>
      </c>
      <c r="C4" s="2" t="s">
        <v>61</v>
      </c>
      <c r="D4" s="2"/>
      <c r="F4" s="4">
        <v>1</v>
      </c>
      <c r="G4" s="4" t="s">
        <v>62</v>
      </c>
      <c r="H4" s="4" t="s">
        <v>63</v>
      </c>
      <c r="I4" s="4" t="s">
        <v>64</v>
      </c>
      <c r="J4" s="7">
        <v>20000000</v>
      </c>
    </row>
    <row r="5" spans="1:10" x14ac:dyDescent="0.25">
      <c r="A5" s="20"/>
      <c r="B5" s="4" t="s">
        <v>65</v>
      </c>
      <c r="C5" s="4" t="s">
        <v>66</v>
      </c>
      <c r="D5" s="4"/>
      <c r="F5" s="4">
        <v>2</v>
      </c>
      <c r="G5" s="4" t="s">
        <v>67</v>
      </c>
      <c r="H5" s="4" t="s">
        <v>68</v>
      </c>
      <c r="I5" s="4" t="s">
        <v>69</v>
      </c>
      <c r="J5" s="7">
        <v>10000000</v>
      </c>
    </row>
    <row r="6" spans="1:10" x14ac:dyDescent="0.25">
      <c r="A6" s="20"/>
      <c r="B6" s="2" t="s">
        <v>70</v>
      </c>
      <c r="C6" s="2" t="s">
        <v>71</v>
      </c>
      <c r="D6" s="2"/>
      <c r="F6" s="4">
        <v>3</v>
      </c>
      <c r="G6" s="4" t="s">
        <v>72</v>
      </c>
      <c r="H6" s="4" t="s">
        <v>63</v>
      </c>
      <c r="I6" s="4" t="s">
        <v>73</v>
      </c>
      <c r="J6" s="7">
        <v>7500000</v>
      </c>
    </row>
    <row r="7" spans="1:10" x14ac:dyDescent="0.25">
      <c r="A7" s="20"/>
      <c r="B7" s="4" t="s">
        <v>74</v>
      </c>
      <c r="C7" s="4" t="s">
        <v>75</v>
      </c>
      <c r="D7" s="4"/>
      <c r="F7" s="4">
        <v>4</v>
      </c>
      <c r="G7" s="4" t="s">
        <v>76</v>
      </c>
      <c r="H7" s="4" t="s">
        <v>68</v>
      </c>
      <c r="I7" s="4" t="s">
        <v>77</v>
      </c>
      <c r="J7" s="7">
        <v>8000000</v>
      </c>
    </row>
    <row r="8" spans="1:10" x14ac:dyDescent="0.25">
      <c r="A8" s="20"/>
      <c r="B8" s="2" t="s">
        <v>78</v>
      </c>
      <c r="C8" s="2" t="s">
        <v>79</v>
      </c>
      <c r="D8" s="2"/>
      <c r="F8" s="4">
        <v>5</v>
      </c>
      <c r="G8" s="4" t="s">
        <v>80</v>
      </c>
      <c r="H8" s="4" t="s">
        <v>63</v>
      </c>
      <c r="I8" s="4" t="s">
        <v>81</v>
      </c>
      <c r="J8" s="7">
        <v>8000000</v>
      </c>
    </row>
    <row r="9" spans="1:10" x14ac:dyDescent="0.25">
      <c r="A9" s="21" t="s">
        <v>82</v>
      </c>
      <c r="B9" s="4" t="s">
        <v>82</v>
      </c>
      <c r="C9" s="4" t="s">
        <v>83</v>
      </c>
      <c r="D9" s="4"/>
      <c r="F9" s="4">
        <v>6</v>
      </c>
      <c r="G9" s="4" t="s">
        <v>84</v>
      </c>
      <c r="H9" s="4" t="s">
        <v>63</v>
      </c>
      <c r="I9" s="4" t="s">
        <v>85</v>
      </c>
      <c r="J9" s="7">
        <v>7500000</v>
      </c>
    </row>
    <row r="10" spans="1:10" x14ac:dyDescent="0.25">
      <c r="A10" s="21"/>
      <c r="B10" s="2" t="s">
        <v>86</v>
      </c>
      <c r="C10" s="2" t="s">
        <v>87</v>
      </c>
      <c r="D10" s="2"/>
    </row>
    <row r="11" spans="1:10" x14ac:dyDescent="0.25">
      <c r="A11" s="21"/>
      <c r="B11" s="4" t="s">
        <v>88</v>
      </c>
      <c r="C11" s="4" t="s">
        <v>89</v>
      </c>
      <c r="D11" s="4"/>
    </row>
    <row r="12" spans="1:10" x14ac:dyDescent="0.25">
      <c r="A12" s="22" t="s">
        <v>90</v>
      </c>
      <c r="B12" s="2" t="s">
        <v>90</v>
      </c>
      <c r="C12" s="2" t="s">
        <v>91</v>
      </c>
      <c r="D12" s="2"/>
    </row>
    <row r="13" spans="1:10" x14ac:dyDescent="0.25">
      <c r="A13" s="22"/>
      <c r="B13" s="4" t="s">
        <v>92</v>
      </c>
      <c r="C13" s="4" t="s">
        <v>93</v>
      </c>
      <c r="D13" s="4"/>
    </row>
    <row r="14" spans="1:10" x14ac:dyDescent="0.25">
      <c r="A14" s="22"/>
      <c r="B14" s="2" t="s">
        <v>94</v>
      </c>
      <c r="C14" s="2" t="s">
        <v>95</v>
      </c>
      <c r="D14" s="2"/>
    </row>
  </sheetData>
  <mergeCells count="3">
    <mergeCell ref="A4:A8"/>
    <mergeCell ref="A9:A11"/>
    <mergeCell ref="A12:A14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5"/>
  <sheetViews>
    <sheetView topLeftCell="A13" zoomScale="86" zoomScaleNormal="86" workbookViewId="0">
      <selection sqref="A1:XFD1048576"/>
    </sheetView>
  </sheetViews>
  <sheetFormatPr defaultColWidth="8.85546875" defaultRowHeight="15" x14ac:dyDescent="0.25"/>
  <cols>
    <col min="1" max="1" width="3.42578125" style="8" customWidth="1"/>
    <col min="2" max="2" width="19.42578125" style="8" customWidth="1"/>
    <col min="3" max="3" width="8" style="8" customWidth="1"/>
    <col min="4" max="4" width="13.28515625" style="8" bestFit="1" customWidth="1"/>
    <col min="5" max="5" width="13.7109375" style="8" customWidth="1"/>
    <col min="6" max="6" width="19.42578125" style="8" bestFit="1" customWidth="1"/>
    <col min="7" max="7" width="15.85546875" style="8" bestFit="1" customWidth="1"/>
    <col min="8" max="8" width="10.7109375" style="8" customWidth="1"/>
    <col min="9" max="9" width="15.140625" style="8" customWidth="1"/>
    <col min="10" max="10" width="12" style="8" bestFit="1" customWidth="1"/>
    <col min="11" max="11" width="17.28515625" style="8" bestFit="1" customWidth="1"/>
    <col min="12" max="16384" width="8.85546875" style="8"/>
  </cols>
  <sheetData>
    <row r="1" spans="1:11" ht="20.25" x14ac:dyDescent="0.3">
      <c r="A1" s="24" t="s">
        <v>40</v>
      </c>
      <c r="B1" s="24"/>
      <c r="C1" s="24"/>
      <c r="D1" s="24"/>
      <c r="E1" s="24"/>
      <c r="F1" s="24"/>
      <c r="G1" s="24"/>
      <c r="H1" s="24"/>
      <c r="I1" s="24"/>
      <c r="J1" s="24"/>
      <c r="K1" s="24"/>
    </row>
    <row r="2" spans="1:11" x14ac:dyDescent="0.25">
      <c r="F2" s="8" t="s">
        <v>39</v>
      </c>
      <c r="G2" s="9">
        <f ca="1">TODAY()</f>
        <v>46097</v>
      </c>
    </row>
    <row r="3" spans="1:11" x14ac:dyDescent="0.25">
      <c r="F3" s="8" t="s">
        <v>38</v>
      </c>
      <c r="G3" s="10">
        <f ca="1">NOW()</f>
        <v>46097.392048379632</v>
      </c>
    </row>
    <row r="5" spans="1:11" x14ac:dyDescent="0.25">
      <c r="A5" s="11" t="s">
        <v>37</v>
      </c>
      <c r="B5" s="11" t="s">
        <v>36</v>
      </c>
      <c r="C5" s="11" t="s">
        <v>35</v>
      </c>
      <c r="D5" s="11" t="s">
        <v>45</v>
      </c>
      <c r="E5" s="11" t="s">
        <v>34</v>
      </c>
      <c r="F5" s="11" t="s">
        <v>33</v>
      </c>
      <c r="G5" s="11" t="s">
        <v>32</v>
      </c>
      <c r="H5" s="11" t="s">
        <v>31</v>
      </c>
      <c r="I5" s="11" t="s">
        <v>30</v>
      </c>
      <c r="J5" s="11" t="s">
        <v>29</v>
      </c>
      <c r="K5" s="11" t="s">
        <v>28</v>
      </c>
    </row>
    <row r="6" spans="1:11" x14ac:dyDescent="0.25">
      <c r="A6" s="12">
        <v>1</v>
      </c>
      <c r="B6" s="12" t="s">
        <v>27</v>
      </c>
      <c r="C6" s="12" t="str">
        <f>LEFT(B6,1)&amp;MID(B6,FIND(" ",B6,1)+1,1)</f>
        <v>JR</v>
      </c>
      <c r="D6" s="12" t="s">
        <v>46</v>
      </c>
      <c r="E6" s="12" t="s">
        <v>11</v>
      </c>
      <c r="F6" s="13">
        <v>33626</v>
      </c>
      <c r="G6" s="12" t="str">
        <f>RIGHT(E6,3)&amp;LEN(B6)</f>
        <v>rta15</v>
      </c>
      <c r="H6" s="14">
        <v>24</v>
      </c>
      <c r="I6" s="15">
        <v>11233</v>
      </c>
      <c r="J6" s="16">
        <v>7</v>
      </c>
      <c r="K6" s="15">
        <f>I6*J6</f>
        <v>78631</v>
      </c>
    </row>
    <row r="7" spans="1:11" x14ac:dyDescent="0.25">
      <c r="A7" s="12">
        <v>2</v>
      </c>
      <c r="B7" s="12" t="s">
        <v>26</v>
      </c>
      <c r="C7" s="12" t="str">
        <f t="shared" ref="C7:C25" si="0">LEFT(B7,1)&amp;MID(B7,FIND(" ",B7,1)+1,1)</f>
        <v>CS</v>
      </c>
      <c r="D7" s="12" t="s">
        <v>46</v>
      </c>
      <c r="E7" s="12" t="s">
        <v>0</v>
      </c>
      <c r="F7" s="13">
        <v>35694</v>
      </c>
      <c r="G7" s="12" t="str">
        <f t="shared" ref="G7:G25" si="1">RIGHT(E7,3)&amp;LEN(B7)</f>
        <v>ang13</v>
      </c>
      <c r="H7" s="14">
        <v>19</v>
      </c>
      <c r="I7" s="15">
        <v>14249</v>
      </c>
      <c r="J7" s="16">
        <v>7</v>
      </c>
      <c r="K7" s="15">
        <f t="shared" ref="K7:K25" si="2">I7*J7</f>
        <v>99743</v>
      </c>
    </row>
    <row r="8" spans="1:11" x14ac:dyDescent="0.25">
      <c r="A8" s="12">
        <v>3</v>
      </c>
      <c r="B8" s="12" t="s">
        <v>25</v>
      </c>
      <c r="C8" s="12" t="str">
        <f t="shared" si="0"/>
        <v>MM</v>
      </c>
      <c r="D8" s="12" t="s">
        <v>46</v>
      </c>
      <c r="E8" s="12" t="s">
        <v>8</v>
      </c>
      <c r="F8" s="13">
        <v>32730</v>
      </c>
      <c r="G8" s="12" t="str">
        <f t="shared" si="1"/>
        <v>esi15</v>
      </c>
      <c r="H8" s="14">
        <v>27</v>
      </c>
      <c r="I8" s="15">
        <v>11096</v>
      </c>
      <c r="J8" s="16">
        <v>9</v>
      </c>
      <c r="K8" s="15">
        <f t="shared" si="2"/>
        <v>99864</v>
      </c>
    </row>
    <row r="9" spans="1:11" x14ac:dyDescent="0.25">
      <c r="A9" s="12">
        <v>4</v>
      </c>
      <c r="B9" s="12" t="s">
        <v>24</v>
      </c>
      <c r="C9" s="12" t="str">
        <f t="shared" si="0"/>
        <v>HM</v>
      </c>
      <c r="D9" s="12" t="s">
        <v>47</v>
      </c>
      <c r="E9" s="12" t="s">
        <v>6</v>
      </c>
      <c r="F9" s="13">
        <v>34813</v>
      </c>
      <c r="G9" s="12" t="str">
        <f t="shared" si="1"/>
        <v>era12</v>
      </c>
      <c r="H9" s="14">
        <v>21</v>
      </c>
      <c r="I9" s="15">
        <v>12728</v>
      </c>
      <c r="J9" s="16">
        <v>9</v>
      </c>
      <c r="K9" s="15">
        <f t="shared" si="2"/>
        <v>114552</v>
      </c>
    </row>
    <row r="10" spans="1:11" x14ac:dyDescent="0.25">
      <c r="A10" s="12">
        <v>5</v>
      </c>
      <c r="B10" s="12" t="s">
        <v>23</v>
      </c>
      <c r="C10" s="12" t="str">
        <f t="shared" si="0"/>
        <v>SB</v>
      </c>
      <c r="D10" s="12" t="s">
        <v>47</v>
      </c>
      <c r="E10" s="12" t="s">
        <v>0</v>
      </c>
      <c r="F10" s="13">
        <v>33397</v>
      </c>
      <c r="G10" s="12" t="str">
        <f t="shared" si="1"/>
        <v>ang11</v>
      </c>
      <c r="H10" s="14">
        <v>25</v>
      </c>
      <c r="I10" s="15">
        <v>13035</v>
      </c>
      <c r="J10" s="16">
        <v>9</v>
      </c>
      <c r="K10" s="15">
        <f t="shared" si="2"/>
        <v>117315</v>
      </c>
    </row>
    <row r="11" spans="1:11" x14ac:dyDescent="0.25">
      <c r="A11" s="12">
        <v>6</v>
      </c>
      <c r="B11" s="12" t="s">
        <v>22</v>
      </c>
      <c r="C11" s="12" t="str">
        <f t="shared" si="0"/>
        <v>RB</v>
      </c>
      <c r="D11" s="12" t="s">
        <v>47</v>
      </c>
      <c r="E11" s="12" t="s">
        <v>21</v>
      </c>
      <c r="F11" s="13">
        <v>33155</v>
      </c>
      <c r="G11" s="12" t="str">
        <f t="shared" si="1"/>
        <v>ung13</v>
      </c>
      <c r="H11" s="14">
        <v>26</v>
      </c>
      <c r="I11" s="15">
        <v>14087</v>
      </c>
      <c r="J11" s="16">
        <v>8</v>
      </c>
      <c r="K11" s="15">
        <f t="shared" si="2"/>
        <v>112696</v>
      </c>
    </row>
    <row r="12" spans="1:11" x14ac:dyDescent="0.25">
      <c r="A12" s="12">
        <v>7</v>
      </c>
      <c r="B12" s="12" t="s">
        <v>20</v>
      </c>
      <c r="C12" s="12" t="str">
        <f t="shared" si="0"/>
        <v>WG</v>
      </c>
      <c r="D12" s="12" t="s">
        <v>46</v>
      </c>
      <c r="E12" s="12" t="s">
        <v>8</v>
      </c>
      <c r="F12" s="13">
        <v>34466</v>
      </c>
      <c r="G12" s="12" t="str">
        <f t="shared" si="1"/>
        <v>esi12</v>
      </c>
      <c r="H12" s="14">
        <v>22</v>
      </c>
      <c r="I12" s="15">
        <v>14126</v>
      </c>
      <c r="J12" s="16">
        <v>7</v>
      </c>
      <c r="K12" s="15">
        <f t="shared" si="2"/>
        <v>98882</v>
      </c>
    </row>
    <row r="13" spans="1:11" x14ac:dyDescent="0.25">
      <c r="A13" s="12">
        <v>8</v>
      </c>
      <c r="B13" s="12" t="s">
        <v>19</v>
      </c>
      <c r="C13" s="12" t="str">
        <f t="shared" si="0"/>
        <v>EB</v>
      </c>
      <c r="D13" s="12" t="s">
        <v>46</v>
      </c>
      <c r="E13" s="12" t="s">
        <v>11</v>
      </c>
      <c r="F13" s="13">
        <v>36155</v>
      </c>
      <c r="G13" s="12" t="str">
        <f t="shared" si="1"/>
        <v>rta14</v>
      </c>
      <c r="H13" s="14">
        <v>18</v>
      </c>
      <c r="I13" s="15">
        <v>12107</v>
      </c>
      <c r="J13" s="16">
        <v>7</v>
      </c>
      <c r="K13" s="15">
        <f t="shared" si="2"/>
        <v>84749</v>
      </c>
    </row>
    <row r="14" spans="1:11" x14ac:dyDescent="0.25">
      <c r="A14" s="12">
        <v>9</v>
      </c>
      <c r="B14" s="12" t="s">
        <v>18</v>
      </c>
      <c r="C14" s="12" t="str">
        <f t="shared" si="0"/>
        <v>PC</v>
      </c>
      <c r="D14" s="12" t="s">
        <v>47</v>
      </c>
      <c r="E14" s="12" t="s">
        <v>0</v>
      </c>
      <c r="F14" s="13">
        <v>33248</v>
      </c>
      <c r="G14" s="12" t="str">
        <f t="shared" si="1"/>
        <v>ang16</v>
      </c>
      <c r="H14" s="14">
        <v>25</v>
      </c>
      <c r="I14" s="15">
        <v>14133</v>
      </c>
      <c r="J14" s="16">
        <v>8</v>
      </c>
      <c r="K14" s="15">
        <f t="shared" si="2"/>
        <v>113064</v>
      </c>
    </row>
    <row r="15" spans="1:11" x14ac:dyDescent="0.25">
      <c r="A15" s="12">
        <v>10</v>
      </c>
      <c r="B15" s="12" t="s">
        <v>17</v>
      </c>
      <c r="C15" s="12" t="str">
        <f t="shared" si="0"/>
        <v>LS</v>
      </c>
      <c r="D15" s="12" t="s">
        <v>47</v>
      </c>
      <c r="E15" s="12" t="s">
        <v>8</v>
      </c>
      <c r="F15" s="13">
        <v>33293</v>
      </c>
      <c r="G15" s="12" t="str">
        <f t="shared" si="1"/>
        <v>esi12</v>
      </c>
      <c r="H15" s="14">
        <v>25</v>
      </c>
      <c r="I15" s="15">
        <v>11444</v>
      </c>
      <c r="J15" s="16">
        <v>8</v>
      </c>
      <c r="K15" s="15">
        <f t="shared" si="2"/>
        <v>91552</v>
      </c>
    </row>
    <row r="16" spans="1:11" x14ac:dyDescent="0.25">
      <c r="A16" s="12">
        <v>11</v>
      </c>
      <c r="B16" s="12" t="s">
        <v>16</v>
      </c>
      <c r="C16" s="12" t="str">
        <f t="shared" si="0"/>
        <v>MS</v>
      </c>
      <c r="D16" s="12" t="s">
        <v>47</v>
      </c>
      <c r="E16" s="12" t="s">
        <v>6</v>
      </c>
      <c r="F16" s="13">
        <v>36058</v>
      </c>
      <c r="G16" s="12" t="str">
        <f t="shared" si="1"/>
        <v>era12</v>
      </c>
      <c r="H16" s="14">
        <v>18</v>
      </c>
      <c r="I16" s="15">
        <v>12219</v>
      </c>
      <c r="J16" s="16">
        <v>8</v>
      </c>
      <c r="K16" s="15">
        <f t="shared" si="2"/>
        <v>97752</v>
      </c>
    </row>
    <row r="17" spans="1:11" x14ac:dyDescent="0.25">
      <c r="A17" s="12">
        <v>12</v>
      </c>
      <c r="B17" s="12" t="s">
        <v>15</v>
      </c>
      <c r="C17" s="12" t="str">
        <f t="shared" si="0"/>
        <v>GR</v>
      </c>
      <c r="D17" s="12" t="s">
        <v>46</v>
      </c>
      <c r="E17" s="12" t="s">
        <v>14</v>
      </c>
      <c r="F17" s="13">
        <v>28725</v>
      </c>
      <c r="G17" s="12" t="str">
        <f t="shared" si="1"/>
        <v>ten13</v>
      </c>
      <c r="H17" s="14">
        <v>38</v>
      </c>
      <c r="I17" s="15">
        <v>11315</v>
      </c>
      <c r="J17" s="16">
        <v>9</v>
      </c>
      <c r="K17" s="15">
        <f t="shared" si="2"/>
        <v>101835</v>
      </c>
    </row>
    <row r="18" spans="1:11" x14ac:dyDescent="0.25">
      <c r="A18" s="12">
        <v>13</v>
      </c>
      <c r="B18" s="12" t="s">
        <v>13</v>
      </c>
      <c r="C18" s="12" t="str">
        <f t="shared" si="0"/>
        <v>SL</v>
      </c>
      <c r="D18" s="12" t="s">
        <v>46</v>
      </c>
      <c r="E18" s="12" t="s">
        <v>11</v>
      </c>
      <c r="F18" s="13">
        <v>28171</v>
      </c>
      <c r="G18" s="12" t="str">
        <f t="shared" si="1"/>
        <v>rta12</v>
      </c>
      <c r="H18" s="14">
        <v>39</v>
      </c>
      <c r="I18" s="15">
        <v>11840</v>
      </c>
      <c r="J18" s="16">
        <v>9</v>
      </c>
      <c r="K18" s="15">
        <f t="shared" si="2"/>
        <v>106560</v>
      </c>
    </row>
    <row r="19" spans="1:11" x14ac:dyDescent="0.25">
      <c r="A19" s="12">
        <v>14</v>
      </c>
      <c r="B19" s="12" t="s">
        <v>12</v>
      </c>
      <c r="C19" s="12" t="str">
        <f t="shared" si="0"/>
        <v>NS</v>
      </c>
      <c r="D19" s="12" t="s">
        <v>47</v>
      </c>
      <c r="E19" s="12" t="s">
        <v>11</v>
      </c>
      <c r="F19" s="13">
        <v>31971</v>
      </c>
      <c r="G19" s="12" t="str">
        <f t="shared" si="1"/>
        <v>rta10</v>
      </c>
      <c r="H19" s="14">
        <v>29</v>
      </c>
      <c r="I19" s="15">
        <v>11165</v>
      </c>
      <c r="J19" s="16">
        <v>9</v>
      </c>
      <c r="K19" s="15">
        <f t="shared" si="2"/>
        <v>100485</v>
      </c>
    </row>
    <row r="20" spans="1:11" x14ac:dyDescent="0.25">
      <c r="A20" s="12">
        <v>15</v>
      </c>
      <c r="B20" s="12" t="s">
        <v>10</v>
      </c>
      <c r="C20" s="12" t="str">
        <f t="shared" si="0"/>
        <v>DR</v>
      </c>
      <c r="D20" s="12" t="s">
        <v>46</v>
      </c>
      <c r="E20" s="12" t="s">
        <v>2</v>
      </c>
      <c r="F20" s="13">
        <v>35447</v>
      </c>
      <c r="G20" s="12" t="str">
        <f t="shared" si="1"/>
        <v>ung12</v>
      </c>
      <c r="H20" s="14">
        <v>19</v>
      </c>
      <c r="I20" s="15">
        <v>13830</v>
      </c>
      <c r="J20" s="16">
        <v>7</v>
      </c>
      <c r="K20" s="15">
        <f t="shared" si="2"/>
        <v>96810</v>
      </c>
    </row>
    <row r="21" spans="1:11" x14ac:dyDescent="0.25">
      <c r="A21" s="12">
        <v>16</v>
      </c>
      <c r="B21" s="12" t="s">
        <v>9</v>
      </c>
      <c r="C21" s="12" t="str">
        <f t="shared" si="0"/>
        <v>KT</v>
      </c>
      <c r="D21" s="12" t="s">
        <v>47</v>
      </c>
      <c r="E21" s="12" t="s">
        <v>8</v>
      </c>
      <c r="F21" s="13">
        <v>33138</v>
      </c>
      <c r="G21" s="12" t="str">
        <f t="shared" si="1"/>
        <v>esi16</v>
      </c>
      <c r="H21" s="14">
        <v>26</v>
      </c>
      <c r="I21" s="15">
        <v>13256</v>
      </c>
      <c r="J21" s="16">
        <v>8</v>
      </c>
      <c r="K21" s="15">
        <f t="shared" si="2"/>
        <v>106048</v>
      </c>
    </row>
    <row r="22" spans="1:11" x14ac:dyDescent="0.25">
      <c r="A22" s="12">
        <v>17</v>
      </c>
      <c r="B22" s="12" t="s">
        <v>7</v>
      </c>
      <c r="C22" s="12" t="str">
        <f t="shared" si="0"/>
        <v>PG</v>
      </c>
      <c r="D22" s="12" t="s">
        <v>47</v>
      </c>
      <c r="E22" s="12" t="s">
        <v>6</v>
      </c>
      <c r="F22" s="13">
        <v>32535</v>
      </c>
      <c r="G22" s="12" t="str">
        <f t="shared" si="1"/>
        <v>era12</v>
      </c>
      <c r="H22" s="14">
        <v>27</v>
      </c>
      <c r="I22" s="15">
        <v>12606</v>
      </c>
      <c r="J22" s="16">
        <v>9</v>
      </c>
      <c r="K22" s="15">
        <f t="shared" si="2"/>
        <v>113454</v>
      </c>
    </row>
    <row r="23" spans="1:11" x14ac:dyDescent="0.25">
      <c r="A23" s="12">
        <v>18</v>
      </c>
      <c r="B23" s="12" t="s">
        <v>5</v>
      </c>
      <c r="C23" s="12" t="str">
        <f t="shared" si="0"/>
        <v>SB</v>
      </c>
      <c r="D23" s="12" t="s">
        <v>47</v>
      </c>
      <c r="E23" s="12" t="s">
        <v>4</v>
      </c>
      <c r="F23" s="13">
        <v>36177</v>
      </c>
      <c r="G23" s="12" t="str">
        <f t="shared" si="1"/>
        <v>sar11</v>
      </c>
      <c r="H23" s="14">
        <v>17</v>
      </c>
      <c r="I23" s="15">
        <v>12672</v>
      </c>
      <c r="J23" s="16">
        <v>9</v>
      </c>
      <c r="K23" s="15">
        <f t="shared" si="2"/>
        <v>114048</v>
      </c>
    </row>
    <row r="24" spans="1:11" x14ac:dyDescent="0.25">
      <c r="A24" s="12">
        <v>19</v>
      </c>
      <c r="B24" s="12" t="s">
        <v>3</v>
      </c>
      <c r="C24" s="12" t="str">
        <f t="shared" si="0"/>
        <v>SS</v>
      </c>
      <c r="D24" s="12" t="s">
        <v>47</v>
      </c>
      <c r="E24" s="12" t="s">
        <v>2</v>
      </c>
      <c r="F24" s="13">
        <v>26629</v>
      </c>
      <c r="G24" s="12" t="str">
        <f t="shared" si="1"/>
        <v>ung11</v>
      </c>
      <c r="H24" s="14">
        <v>44</v>
      </c>
      <c r="I24" s="15">
        <v>14735</v>
      </c>
      <c r="J24" s="16">
        <v>9</v>
      </c>
      <c r="K24" s="15">
        <f t="shared" si="2"/>
        <v>132615</v>
      </c>
    </row>
    <row r="25" spans="1:11" x14ac:dyDescent="0.25">
      <c r="A25" s="12">
        <v>20</v>
      </c>
      <c r="B25" s="12" t="s">
        <v>1</v>
      </c>
      <c r="C25" s="12" t="str">
        <f t="shared" si="0"/>
        <v>KR</v>
      </c>
      <c r="D25" s="12" t="s">
        <v>47</v>
      </c>
      <c r="E25" s="12" t="s">
        <v>0</v>
      </c>
      <c r="F25" s="13">
        <v>33249</v>
      </c>
      <c r="G25" s="12" t="str">
        <f t="shared" si="1"/>
        <v>ang10</v>
      </c>
      <c r="H25" s="14">
        <v>25</v>
      </c>
      <c r="I25" s="15">
        <v>14366</v>
      </c>
      <c r="J25" s="16">
        <v>9</v>
      </c>
      <c r="K25" s="15">
        <f t="shared" si="2"/>
        <v>129294</v>
      </c>
    </row>
    <row r="26" spans="1:11" x14ac:dyDescent="0.25">
      <c r="B26" s="23" t="s">
        <v>44</v>
      </c>
      <c r="C26" s="23"/>
      <c r="D26" s="23"/>
      <c r="E26" s="23"/>
      <c r="F26" s="23"/>
      <c r="G26" s="23"/>
      <c r="H26" s="23"/>
      <c r="I26" s="23"/>
      <c r="J26" s="23"/>
      <c r="K26" s="17">
        <f>SUM(I6:I25)</f>
        <v>256242</v>
      </c>
    </row>
    <row r="27" spans="1:11" x14ac:dyDescent="0.25">
      <c r="B27" s="23" t="s">
        <v>96</v>
      </c>
      <c r="C27" s="23"/>
      <c r="D27" s="23"/>
      <c r="E27" s="23"/>
      <c r="F27" s="23"/>
      <c r="G27" s="23"/>
      <c r="H27" s="23"/>
      <c r="I27" s="23"/>
      <c r="J27" s="23"/>
      <c r="K27" s="17">
        <f>AVERAGE(K6:K25)</f>
        <v>105497.45</v>
      </c>
    </row>
    <row r="28" spans="1:11" x14ac:dyDescent="0.25">
      <c r="B28" s="23" t="s">
        <v>41</v>
      </c>
      <c r="C28" s="23"/>
      <c r="D28" s="23"/>
      <c r="E28" s="23"/>
      <c r="F28" s="23"/>
      <c r="G28" s="23"/>
      <c r="H28" s="23"/>
      <c r="I28" s="23"/>
      <c r="J28" s="23"/>
      <c r="K28" s="17">
        <f>MIN(I6:I25)</f>
        <v>11096</v>
      </c>
    </row>
    <row r="29" spans="1:11" x14ac:dyDescent="0.25">
      <c r="B29" s="23" t="s">
        <v>42</v>
      </c>
      <c r="C29" s="23"/>
      <c r="D29" s="23"/>
      <c r="E29" s="23"/>
      <c r="F29" s="23"/>
      <c r="G29" s="23"/>
      <c r="H29" s="23"/>
      <c r="I29" s="23"/>
      <c r="J29" s="23"/>
      <c r="K29" s="17">
        <f>MAX(I6:I25)</f>
        <v>14735</v>
      </c>
    </row>
    <row r="30" spans="1:11" x14ac:dyDescent="0.25">
      <c r="B30" s="23" t="s">
        <v>43</v>
      </c>
      <c r="C30" s="23"/>
      <c r="D30" s="23"/>
      <c r="E30" s="23"/>
      <c r="F30" s="23"/>
      <c r="G30" s="23"/>
      <c r="H30" s="23"/>
      <c r="I30" s="23"/>
      <c r="J30" s="23"/>
      <c r="K30" s="19">
        <f>COUNTIF(D6:D25,"Laki-Laki")</f>
        <v>8</v>
      </c>
    </row>
    <row r="31" spans="1:11" x14ac:dyDescent="0.25">
      <c r="B31" s="23" t="s">
        <v>97</v>
      </c>
      <c r="C31" s="23"/>
      <c r="D31" s="23"/>
      <c r="E31" s="23"/>
      <c r="F31" s="23"/>
      <c r="G31" s="23"/>
      <c r="H31" s="23"/>
      <c r="I31" s="23"/>
      <c r="J31" s="23"/>
      <c r="K31" s="19">
        <f>COUNTIF(E6:E25,E6)</f>
        <v>4</v>
      </c>
    </row>
    <row r="32" spans="1:11" x14ac:dyDescent="0.25">
      <c r="B32" s="23" t="s">
        <v>98</v>
      </c>
      <c r="C32" s="23"/>
      <c r="D32" s="23"/>
      <c r="E32" s="23"/>
      <c r="F32" s="23"/>
      <c r="G32" s="23"/>
      <c r="H32" s="23"/>
      <c r="I32" s="23"/>
      <c r="J32" s="23"/>
      <c r="K32" s="19">
        <f>COUNTIFS(D6:D25,D25,E6:E25,E21)</f>
        <v>2</v>
      </c>
    </row>
    <row r="33" spans="2:11" x14ac:dyDescent="0.25">
      <c r="B33" s="23" t="s">
        <v>48</v>
      </c>
      <c r="C33" s="23"/>
      <c r="D33" s="23"/>
      <c r="E33" s="23"/>
      <c r="F33" s="23"/>
      <c r="G33" s="23"/>
      <c r="H33" s="23"/>
      <c r="I33" s="23"/>
      <c r="J33" s="23"/>
      <c r="K33" s="18">
        <f>SUMIF(D6:D25,D24,K6:K25)</f>
        <v>1342875</v>
      </c>
    </row>
    <row r="34" spans="2:11" x14ac:dyDescent="0.25">
      <c r="B34" s="23" t="s">
        <v>100</v>
      </c>
      <c r="C34" s="23"/>
      <c r="D34" s="23"/>
      <c r="E34" s="23"/>
      <c r="F34" s="23"/>
      <c r="G34" s="23"/>
      <c r="H34" s="23"/>
      <c r="I34" s="23"/>
      <c r="J34" s="23"/>
      <c r="K34" s="18">
        <f>SUMIFS(K6:K25,H6:H25,H8,D6:D25,D12)</f>
        <v>99864</v>
      </c>
    </row>
    <row r="35" spans="2:11" x14ac:dyDescent="0.25">
      <c r="B35" s="23" t="s">
        <v>99</v>
      </c>
      <c r="C35" s="23"/>
      <c r="D35" s="23"/>
      <c r="E35" s="23"/>
      <c r="F35" s="23"/>
      <c r="G35" s="23"/>
      <c r="H35" s="23"/>
      <c r="I35" s="23"/>
      <c r="J35" s="23"/>
      <c r="K35" s="18">
        <f>AVERAGEIF(J6:J25,J25,I6:I25)</f>
        <v>12555.8</v>
      </c>
    </row>
  </sheetData>
  <mergeCells count="11">
    <mergeCell ref="B35:J35"/>
    <mergeCell ref="A1:K1"/>
    <mergeCell ref="B26:J26"/>
    <mergeCell ref="B28:J28"/>
    <mergeCell ref="B29:J29"/>
    <mergeCell ref="B27:J27"/>
    <mergeCell ref="B30:J30"/>
    <mergeCell ref="B31:J31"/>
    <mergeCell ref="B32:J32"/>
    <mergeCell ref="B33:J33"/>
    <mergeCell ref="B34:J3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78BBF-1DC9-6247-A587-DE12194A476E}">
  <dimension ref="A1:O35"/>
  <sheetViews>
    <sheetView tabSelected="1" topLeftCell="A17" zoomScaleNormal="100" workbookViewId="0">
      <selection activeCell="K36" sqref="K36"/>
    </sheetView>
  </sheetViews>
  <sheetFormatPr defaultColWidth="8.85546875" defaultRowHeight="15" x14ac:dyDescent="0.25"/>
  <cols>
    <col min="1" max="1" width="3.42578125" style="8" customWidth="1"/>
    <col min="2" max="2" width="19.42578125" style="8" customWidth="1"/>
    <col min="3" max="3" width="8" style="8" customWidth="1"/>
    <col min="4" max="4" width="13.28515625" style="8" bestFit="1" customWidth="1"/>
    <col min="5" max="5" width="13.7109375" style="8" customWidth="1"/>
    <col min="6" max="6" width="19.42578125" style="8" bestFit="1" customWidth="1"/>
    <col min="7" max="7" width="15.85546875" style="8" bestFit="1" customWidth="1"/>
    <col min="8" max="8" width="10.7109375" style="8" customWidth="1"/>
    <col min="9" max="9" width="15.140625" style="8" customWidth="1"/>
    <col min="10" max="10" width="12" style="8" bestFit="1" customWidth="1"/>
    <col min="11" max="11" width="17.28515625" style="8" bestFit="1" customWidth="1"/>
    <col min="12" max="16384" width="8.85546875" style="8"/>
  </cols>
  <sheetData>
    <row r="1" spans="1:14" ht="20.25" x14ac:dyDescent="0.3">
      <c r="A1" s="24" t="s">
        <v>40</v>
      </c>
      <c r="B1" s="24"/>
      <c r="C1" s="24"/>
      <c r="D1" s="24"/>
      <c r="E1" s="24"/>
      <c r="F1" s="24"/>
      <c r="G1" s="24"/>
      <c r="H1" s="24"/>
      <c r="I1" s="24"/>
      <c r="J1" s="24"/>
      <c r="K1" s="24"/>
    </row>
    <row r="2" spans="1:14" x14ac:dyDescent="0.25">
      <c r="F2" s="8" t="s">
        <v>39</v>
      </c>
      <c r="G2" s="9">
        <f ca="1">TODAY()</f>
        <v>46097</v>
      </c>
    </row>
    <row r="3" spans="1:14" x14ac:dyDescent="0.25">
      <c r="F3" s="8" t="s">
        <v>38</v>
      </c>
      <c r="G3" s="10">
        <f ca="1">NOW()</f>
        <v>46097.392048379632</v>
      </c>
    </row>
    <row r="5" spans="1:14" x14ac:dyDescent="0.25">
      <c r="A5" s="11" t="s">
        <v>37</v>
      </c>
      <c r="B5" s="11" t="s">
        <v>36</v>
      </c>
      <c r="C5" s="11" t="s">
        <v>35</v>
      </c>
      <c r="D5" s="11" t="s">
        <v>45</v>
      </c>
      <c r="E5" s="11" t="s">
        <v>34</v>
      </c>
      <c r="F5" s="11" t="s">
        <v>33</v>
      </c>
      <c r="G5" s="11" t="s">
        <v>32</v>
      </c>
      <c r="H5" s="11" t="s">
        <v>31</v>
      </c>
      <c r="I5" s="11" t="s">
        <v>30</v>
      </c>
      <c r="J5" s="11" t="s">
        <v>29</v>
      </c>
      <c r="K5" s="11" t="s">
        <v>28</v>
      </c>
    </row>
    <row r="6" spans="1:14" x14ac:dyDescent="0.25">
      <c r="A6" s="12">
        <v>1</v>
      </c>
      <c r="B6" s="12" t="s">
        <v>27</v>
      </c>
      <c r="C6" s="12" t="str">
        <f>LEFT(B6,1)&amp;MID(B6,FIND(" ",B6,1)+1,1)</f>
        <v>JR</v>
      </c>
      <c r="D6" s="12" t="s">
        <v>46</v>
      </c>
      <c r="E6" s="12" t="s">
        <v>11</v>
      </c>
      <c r="F6" s="13">
        <v>33626</v>
      </c>
      <c r="G6" s="12" t="str">
        <f>RIGHT(E6,3)&amp;LEN(B6)</f>
        <v>rta15</v>
      </c>
      <c r="H6" s="14">
        <v>24</v>
      </c>
      <c r="I6" s="15">
        <v>11233</v>
      </c>
      <c r="J6" s="16">
        <v>7</v>
      </c>
      <c r="K6" s="15">
        <f>I6*J6</f>
        <v>78631</v>
      </c>
    </row>
    <row r="7" spans="1:14" x14ac:dyDescent="0.25">
      <c r="A7" s="12">
        <v>2</v>
      </c>
      <c r="B7" s="12" t="s">
        <v>26</v>
      </c>
      <c r="C7" s="12" t="str">
        <f t="shared" ref="C7:C25" si="0">LEFT(B7,1)&amp;MID(B7,FIND(" ",B7,1)+1,1)</f>
        <v>CS</v>
      </c>
      <c r="D7" s="12" t="s">
        <v>46</v>
      </c>
      <c r="E7" s="12" t="s">
        <v>0</v>
      </c>
      <c r="F7" s="13">
        <v>35694</v>
      </c>
      <c r="G7" s="12" t="str">
        <f t="shared" ref="G7:G25" si="1">RIGHT(E7,3)&amp;LEN(B7)</f>
        <v>ang13</v>
      </c>
      <c r="H7" s="14">
        <v>19</v>
      </c>
      <c r="I7" s="15">
        <v>14249</v>
      </c>
      <c r="J7" s="16">
        <v>7</v>
      </c>
      <c r="K7" s="15">
        <f t="shared" ref="K7:K25" si="2">I7*J7</f>
        <v>99743</v>
      </c>
    </row>
    <row r="8" spans="1:14" x14ac:dyDescent="0.25">
      <c r="A8" s="12">
        <v>3</v>
      </c>
      <c r="B8" s="12" t="s">
        <v>25</v>
      </c>
      <c r="C8" s="12" t="str">
        <f t="shared" si="0"/>
        <v>MM</v>
      </c>
      <c r="D8" s="12" t="s">
        <v>46</v>
      </c>
      <c r="E8" s="12" t="s">
        <v>8</v>
      </c>
      <c r="F8" s="13">
        <v>32730</v>
      </c>
      <c r="G8" s="12" t="str">
        <f t="shared" si="1"/>
        <v>esi15</v>
      </c>
      <c r="H8" s="14">
        <v>27</v>
      </c>
      <c r="I8" s="15">
        <v>11096</v>
      </c>
      <c r="J8" s="16">
        <v>9</v>
      </c>
      <c r="K8" s="15">
        <f t="shared" si="2"/>
        <v>99864</v>
      </c>
    </row>
    <row r="9" spans="1:14" x14ac:dyDescent="0.25">
      <c r="A9" s="12">
        <v>4</v>
      </c>
      <c r="B9" s="12" t="s">
        <v>24</v>
      </c>
      <c r="C9" s="12" t="str">
        <f t="shared" si="0"/>
        <v>HM</v>
      </c>
      <c r="D9" s="12" t="s">
        <v>47</v>
      </c>
      <c r="E9" s="12" t="s">
        <v>6</v>
      </c>
      <c r="F9" s="13">
        <v>34813</v>
      </c>
      <c r="G9" s="12" t="str">
        <f t="shared" si="1"/>
        <v>era12</v>
      </c>
      <c r="H9" s="14">
        <v>21</v>
      </c>
      <c r="I9" s="15">
        <v>12728</v>
      </c>
      <c r="J9" s="16">
        <v>9</v>
      </c>
      <c r="K9" s="15">
        <f t="shared" si="2"/>
        <v>114552</v>
      </c>
      <c r="N9" s="8">
        <v>56</v>
      </c>
    </row>
    <row r="10" spans="1:14" x14ac:dyDescent="0.25">
      <c r="A10" s="12">
        <v>5</v>
      </c>
      <c r="B10" s="12" t="s">
        <v>23</v>
      </c>
      <c r="C10" s="12" t="str">
        <f t="shared" si="0"/>
        <v>SB</v>
      </c>
      <c r="D10" s="12" t="s">
        <v>47</v>
      </c>
      <c r="E10" s="12" t="s">
        <v>0</v>
      </c>
      <c r="F10" s="13">
        <v>33397</v>
      </c>
      <c r="G10" s="12" t="str">
        <f t="shared" si="1"/>
        <v>ang11</v>
      </c>
      <c r="H10" s="14">
        <v>25</v>
      </c>
      <c r="I10" s="15">
        <v>13035</v>
      </c>
      <c r="J10" s="16">
        <v>9</v>
      </c>
      <c r="K10" s="15">
        <f t="shared" si="2"/>
        <v>117315</v>
      </c>
      <c r="N10" s="8">
        <v>89</v>
      </c>
    </row>
    <row r="11" spans="1:14" x14ac:dyDescent="0.25">
      <c r="A11" s="12">
        <v>6</v>
      </c>
      <c r="B11" s="12" t="s">
        <v>22</v>
      </c>
      <c r="C11" s="12" t="str">
        <f t="shared" si="0"/>
        <v>RB</v>
      </c>
      <c r="D11" s="12" t="s">
        <v>47</v>
      </c>
      <c r="E11" s="12" t="s">
        <v>21</v>
      </c>
      <c r="F11" s="13">
        <v>33155</v>
      </c>
      <c r="G11" s="12" t="str">
        <f t="shared" si="1"/>
        <v>ung13</v>
      </c>
      <c r="H11" s="14">
        <v>26</v>
      </c>
      <c r="I11" s="15">
        <v>14087</v>
      </c>
      <c r="J11" s="16">
        <v>8</v>
      </c>
      <c r="K11" s="15">
        <f t="shared" si="2"/>
        <v>112696</v>
      </c>
    </row>
    <row r="12" spans="1:14" x14ac:dyDescent="0.25">
      <c r="A12" s="12">
        <v>7</v>
      </c>
      <c r="B12" s="12" t="s">
        <v>20</v>
      </c>
      <c r="C12" s="12" t="str">
        <f t="shared" si="0"/>
        <v>WG</v>
      </c>
      <c r="D12" s="12" t="s">
        <v>46</v>
      </c>
      <c r="E12" s="12" t="s">
        <v>8</v>
      </c>
      <c r="F12" s="13">
        <v>34466</v>
      </c>
      <c r="G12" s="12" t="str">
        <f t="shared" si="1"/>
        <v>esi12</v>
      </c>
      <c r="H12" s="14">
        <v>22</v>
      </c>
      <c r="I12" s="15">
        <v>14126</v>
      </c>
      <c r="J12" s="16">
        <v>7</v>
      </c>
      <c r="K12" s="15">
        <f t="shared" si="2"/>
        <v>98882</v>
      </c>
    </row>
    <row r="13" spans="1:14" x14ac:dyDescent="0.25">
      <c r="A13" s="12">
        <v>8</v>
      </c>
      <c r="B13" s="12" t="s">
        <v>19</v>
      </c>
      <c r="C13" s="12" t="str">
        <f t="shared" si="0"/>
        <v>EB</v>
      </c>
      <c r="D13" s="12" t="s">
        <v>46</v>
      </c>
      <c r="E13" s="12" t="s">
        <v>11</v>
      </c>
      <c r="F13" s="13">
        <v>36155</v>
      </c>
      <c r="G13" s="12" t="str">
        <f t="shared" si="1"/>
        <v>rta14</v>
      </c>
      <c r="H13" s="14">
        <v>18</v>
      </c>
      <c r="I13" s="15">
        <v>12107</v>
      </c>
      <c r="J13" s="16">
        <v>7</v>
      </c>
      <c r="K13" s="15">
        <f t="shared" si="2"/>
        <v>84749</v>
      </c>
    </row>
    <row r="14" spans="1:14" x14ac:dyDescent="0.25">
      <c r="A14" s="12">
        <v>9</v>
      </c>
      <c r="B14" s="12" t="s">
        <v>18</v>
      </c>
      <c r="C14" s="12" t="str">
        <f t="shared" si="0"/>
        <v>PC</v>
      </c>
      <c r="D14" s="12" t="s">
        <v>47</v>
      </c>
      <c r="E14" s="12" t="s">
        <v>0</v>
      </c>
      <c r="F14" s="13">
        <v>33248</v>
      </c>
      <c r="G14" s="12" t="str">
        <f t="shared" si="1"/>
        <v>ang16</v>
      </c>
      <c r="H14" s="14">
        <v>25</v>
      </c>
      <c r="I14" s="15">
        <v>14133</v>
      </c>
      <c r="J14" s="16">
        <v>8</v>
      </c>
      <c r="K14" s="15">
        <f t="shared" si="2"/>
        <v>113064</v>
      </c>
    </row>
    <row r="15" spans="1:14" x14ac:dyDescent="0.25">
      <c r="A15" s="12">
        <v>10</v>
      </c>
      <c r="B15" s="12" t="s">
        <v>17</v>
      </c>
      <c r="C15" s="12" t="str">
        <f t="shared" si="0"/>
        <v>LS</v>
      </c>
      <c r="D15" s="12" t="s">
        <v>47</v>
      </c>
      <c r="E15" s="12" t="s">
        <v>8</v>
      </c>
      <c r="F15" s="13">
        <v>33293</v>
      </c>
      <c r="G15" s="12" t="str">
        <f t="shared" si="1"/>
        <v>esi12</v>
      </c>
      <c r="H15" s="14">
        <v>25</v>
      </c>
      <c r="I15" s="15">
        <v>11444</v>
      </c>
      <c r="J15" s="16">
        <v>8</v>
      </c>
      <c r="K15" s="15">
        <f t="shared" si="2"/>
        <v>91552</v>
      </c>
    </row>
    <row r="16" spans="1:14" x14ac:dyDescent="0.25">
      <c r="A16" s="12">
        <v>11</v>
      </c>
      <c r="B16" s="12" t="s">
        <v>16</v>
      </c>
      <c r="C16" s="12" t="str">
        <f t="shared" si="0"/>
        <v>MS</v>
      </c>
      <c r="D16" s="12" t="s">
        <v>47</v>
      </c>
      <c r="E16" s="12" t="s">
        <v>6</v>
      </c>
      <c r="F16" s="13">
        <v>36058</v>
      </c>
      <c r="G16" s="12" t="str">
        <f t="shared" si="1"/>
        <v>era12</v>
      </c>
      <c r="H16" s="14">
        <v>18</v>
      </c>
      <c r="I16" s="15">
        <v>12219</v>
      </c>
      <c r="J16" s="16">
        <v>8</v>
      </c>
      <c r="K16" s="15">
        <f t="shared" si="2"/>
        <v>97752</v>
      </c>
    </row>
    <row r="17" spans="1:15" x14ac:dyDescent="0.25">
      <c r="A17" s="12">
        <v>12</v>
      </c>
      <c r="B17" s="12" t="s">
        <v>15</v>
      </c>
      <c r="C17" s="12" t="str">
        <f t="shared" si="0"/>
        <v>GR</v>
      </c>
      <c r="D17" s="12" t="s">
        <v>46</v>
      </c>
      <c r="E17" s="12" t="s">
        <v>14</v>
      </c>
      <c r="F17" s="13">
        <v>28725</v>
      </c>
      <c r="G17" s="12" t="str">
        <f t="shared" si="1"/>
        <v>ten13</v>
      </c>
      <c r="H17" s="14">
        <v>38</v>
      </c>
      <c r="I17" s="15">
        <v>11315</v>
      </c>
      <c r="J17" s="16">
        <v>9</v>
      </c>
      <c r="K17" s="15">
        <f t="shared" si="2"/>
        <v>101835</v>
      </c>
      <c r="M17" s="8" t="s">
        <v>101</v>
      </c>
      <c r="O17" s="8" t="s">
        <v>103</v>
      </c>
    </row>
    <row r="18" spans="1:15" x14ac:dyDescent="0.25">
      <c r="A18" s="12">
        <v>13</v>
      </c>
      <c r="B18" s="12" t="s">
        <v>13</v>
      </c>
      <c r="C18" s="12" t="str">
        <f t="shared" si="0"/>
        <v>SL</v>
      </c>
      <c r="D18" s="12" t="s">
        <v>46</v>
      </c>
      <c r="E18" s="12" t="s">
        <v>11</v>
      </c>
      <c r="F18" s="13">
        <v>28171</v>
      </c>
      <c r="G18" s="12" t="str">
        <f t="shared" si="1"/>
        <v>rta12</v>
      </c>
      <c r="H18" s="14">
        <v>39</v>
      </c>
      <c r="I18" s="15">
        <v>11840</v>
      </c>
      <c r="J18" s="16">
        <v>9</v>
      </c>
      <c r="K18" s="15">
        <f t="shared" si="2"/>
        <v>106560</v>
      </c>
      <c r="M18" s="8" t="s">
        <v>102</v>
      </c>
      <c r="O18" s="8" t="s">
        <v>104</v>
      </c>
    </row>
    <row r="19" spans="1:15" x14ac:dyDescent="0.25">
      <c r="A19" s="12">
        <v>14</v>
      </c>
      <c r="B19" s="12" t="s">
        <v>12</v>
      </c>
      <c r="C19" s="12" t="str">
        <f t="shared" si="0"/>
        <v>NS</v>
      </c>
      <c r="D19" s="12" t="s">
        <v>47</v>
      </c>
      <c r="E19" s="12" t="s">
        <v>11</v>
      </c>
      <c r="F19" s="13">
        <v>31971</v>
      </c>
      <c r="G19" s="12" t="str">
        <f t="shared" si="1"/>
        <v>rta10</v>
      </c>
      <c r="H19" s="14">
        <v>29</v>
      </c>
      <c r="I19" s="15">
        <v>11165</v>
      </c>
      <c r="J19" s="16">
        <v>9</v>
      </c>
      <c r="K19" s="15">
        <f t="shared" si="2"/>
        <v>100485</v>
      </c>
      <c r="O19" s="8" t="s">
        <v>105</v>
      </c>
    </row>
    <row r="20" spans="1:15" x14ac:dyDescent="0.25">
      <c r="A20" s="12">
        <v>15</v>
      </c>
      <c r="B20" s="12" t="s">
        <v>10</v>
      </c>
      <c r="C20" s="12" t="str">
        <f t="shared" si="0"/>
        <v>DR</v>
      </c>
      <c r="D20" s="12" t="s">
        <v>46</v>
      </c>
      <c r="E20" s="12" t="s">
        <v>2</v>
      </c>
      <c r="F20" s="13">
        <v>35447</v>
      </c>
      <c r="G20" s="12" t="str">
        <f t="shared" si="1"/>
        <v>ung12</v>
      </c>
      <c r="H20" s="14">
        <v>19</v>
      </c>
      <c r="I20" s="15">
        <v>13830</v>
      </c>
      <c r="J20" s="16">
        <v>7</v>
      </c>
      <c r="K20" s="15">
        <f t="shared" si="2"/>
        <v>96810</v>
      </c>
    </row>
    <row r="21" spans="1:15" x14ac:dyDescent="0.25">
      <c r="A21" s="12">
        <v>16</v>
      </c>
      <c r="B21" s="12" t="s">
        <v>9</v>
      </c>
      <c r="C21" s="12" t="str">
        <f t="shared" si="0"/>
        <v>KT</v>
      </c>
      <c r="D21" s="12" t="s">
        <v>47</v>
      </c>
      <c r="E21" s="12" t="s">
        <v>8</v>
      </c>
      <c r="F21" s="13">
        <v>33138</v>
      </c>
      <c r="G21" s="12" t="str">
        <f t="shared" si="1"/>
        <v>esi16</v>
      </c>
      <c r="H21" s="14">
        <v>26</v>
      </c>
      <c r="I21" s="15">
        <v>13256</v>
      </c>
      <c r="J21" s="16">
        <v>8</v>
      </c>
      <c r="K21" s="15">
        <f t="shared" si="2"/>
        <v>106048</v>
      </c>
    </row>
    <row r="22" spans="1:15" x14ac:dyDescent="0.25">
      <c r="A22" s="12">
        <v>17</v>
      </c>
      <c r="B22" s="12" t="s">
        <v>7</v>
      </c>
      <c r="C22" s="12" t="str">
        <f t="shared" si="0"/>
        <v>PG</v>
      </c>
      <c r="D22" s="12" t="s">
        <v>47</v>
      </c>
      <c r="E22" s="12" t="s">
        <v>6</v>
      </c>
      <c r="F22" s="13">
        <v>32535</v>
      </c>
      <c r="G22" s="12" t="str">
        <f t="shared" si="1"/>
        <v>era12</v>
      </c>
      <c r="H22" s="14">
        <v>27</v>
      </c>
      <c r="I22" s="15">
        <v>12606</v>
      </c>
      <c r="J22" s="16">
        <v>9</v>
      </c>
      <c r="K22" s="15">
        <f t="shared" si="2"/>
        <v>113454</v>
      </c>
    </row>
    <row r="23" spans="1:15" x14ac:dyDescent="0.25">
      <c r="A23" s="12">
        <v>18</v>
      </c>
      <c r="B23" s="12" t="s">
        <v>5</v>
      </c>
      <c r="C23" s="12" t="str">
        <f t="shared" si="0"/>
        <v>SB</v>
      </c>
      <c r="D23" s="12" t="s">
        <v>47</v>
      </c>
      <c r="E23" s="12" t="s">
        <v>4</v>
      </c>
      <c r="F23" s="13">
        <v>36177</v>
      </c>
      <c r="G23" s="12" t="str">
        <f t="shared" si="1"/>
        <v>sar11</v>
      </c>
      <c r="H23" s="14">
        <v>17</v>
      </c>
      <c r="I23" s="15">
        <v>12672</v>
      </c>
      <c r="J23" s="16">
        <v>9</v>
      </c>
      <c r="K23" s="15">
        <f t="shared" si="2"/>
        <v>114048</v>
      </c>
    </row>
    <row r="24" spans="1:15" x14ac:dyDescent="0.25">
      <c r="A24" s="12">
        <v>19</v>
      </c>
      <c r="B24" s="12" t="s">
        <v>3</v>
      </c>
      <c r="C24" s="12" t="str">
        <f t="shared" si="0"/>
        <v>SS</v>
      </c>
      <c r="D24" s="12" t="s">
        <v>47</v>
      </c>
      <c r="E24" s="12" t="s">
        <v>2</v>
      </c>
      <c r="F24" s="13">
        <v>26629</v>
      </c>
      <c r="G24" s="12" t="str">
        <f t="shared" si="1"/>
        <v>ung11</v>
      </c>
      <c r="H24" s="14">
        <v>44</v>
      </c>
      <c r="I24" s="15">
        <v>14735</v>
      </c>
      <c r="J24" s="16">
        <v>9</v>
      </c>
      <c r="K24" s="15">
        <f t="shared" si="2"/>
        <v>132615</v>
      </c>
    </row>
    <row r="25" spans="1:15" x14ac:dyDescent="0.25">
      <c r="A25" s="12">
        <v>20</v>
      </c>
      <c r="B25" s="12" t="s">
        <v>1</v>
      </c>
      <c r="C25" s="12" t="str">
        <f t="shared" si="0"/>
        <v>KR</v>
      </c>
      <c r="D25" s="12" t="s">
        <v>47</v>
      </c>
      <c r="E25" s="12" t="s">
        <v>0</v>
      </c>
      <c r="F25" s="13">
        <v>33249</v>
      </c>
      <c r="G25" s="12" t="str">
        <f t="shared" si="1"/>
        <v>ang10</v>
      </c>
      <c r="H25" s="14">
        <v>25</v>
      </c>
      <c r="I25" s="15">
        <v>14366</v>
      </c>
      <c r="J25" s="16">
        <v>9</v>
      </c>
      <c r="K25" s="15">
        <f t="shared" si="2"/>
        <v>129294</v>
      </c>
    </row>
    <row r="26" spans="1:15" x14ac:dyDescent="0.25">
      <c r="B26" s="23" t="s">
        <v>44</v>
      </c>
      <c r="C26" s="23"/>
      <c r="D26" s="23"/>
      <c r="E26" s="23"/>
      <c r="F26" s="23"/>
      <c r="G26" s="23"/>
      <c r="H26" s="23"/>
      <c r="I26" s="23"/>
      <c r="J26" s="23"/>
      <c r="K26" s="17">
        <f>SUM(I6:I25)</f>
        <v>256242</v>
      </c>
    </row>
    <row r="27" spans="1:15" x14ac:dyDescent="0.25">
      <c r="B27" s="23" t="s">
        <v>96</v>
      </c>
      <c r="C27" s="23"/>
      <c r="D27" s="23"/>
      <c r="E27" s="23"/>
      <c r="F27" s="23"/>
      <c r="G27" s="23"/>
      <c r="H27" s="23"/>
      <c r="I27" s="23"/>
      <c r="J27" s="23"/>
      <c r="K27" s="17">
        <f>AVERAGE(K6:K25)</f>
        <v>105497.45</v>
      </c>
    </row>
    <row r="28" spans="1:15" x14ac:dyDescent="0.25">
      <c r="B28" s="23" t="s">
        <v>41</v>
      </c>
      <c r="C28" s="23"/>
      <c r="D28" s="23"/>
      <c r="E28" s="23"/>
      <c r="F28" s="23"/>
      <c r="G28" s="23"/>
      <c r="H28" s="23"/>
      <c r="I28" s="23"/>
      <c r="J28" s="23"/>
      <c r="K28" s="17">
        <f>MIN(I6:I25)</f>
        <v>11096</v>
      </c>
    </row>
    <row r="29" spans="1:15" x14ac:dyDescent="0.25">
      <c r="B29" s="23" t="s">
        <v>42</v>
      </c>
      <c r="C29" s="23"/>
      <c r="D29" s="23"/>
      <c r="E29" s="23"/>
      <c r="F29" s="23"/>
      <c r="G29" s="23"/>
      <c r="H29" s="23"/>
      <c r="I29" s="23"/>
      <c r="J29" s="23"/>
      <c r="K29" s="17">
        <f>MAX(I6:I25)</f>
        <v>14735</v>
      </c>
    </row>
    <row r="30" spans="1:15" x14ac:dyDescent="0.25">
      <c r="B30" s="23" t="s">
        <v>43</v>
      </c>
      <c r="C30" s="23"/>
      <c r="D30" s="23"/>
      <c r="E30" s="23"/>
      <c r="F30" s="23"/>
      <c r="G30" s="23"/>
      <c r="H30" s="23"/>
      <c r="I30" s="23"/>
      <c r="J30" s="23"/>
      <c r="K30" s="19">
        <f>COUNTIF(D6:D25,D6)</f>
        <v>8</v>
      </c>
    </row>
    <row r="31" spans="1:15" x14ac:dyDescent="0.25">
      <c r="B31" s="23" t="s">
        <v>97</v>
      </c>
      <c r="C31" s="23"/>
      <c r="D31" s="23"/>
      <c r="E31" s="23"/>
      <c r="F31" s="23"/>
      <c r="G31" s="23"/>
      <c r="H31" s="23"/>
      <c r="I31" s="23"/>
      <c r="J31" s="23"/>
      <c r="K31" s="19">
        <f>COUNTIF(E6:E25,E6)</f>
        <v>4</v>
      </c>
    </row>
    <row r="32" spans="1:15" x14ac:dyDescent="0.25">
      <c r="B32" s="23" t="s">
        <v>98</v>
      </c>
      <c r="C32" s="23"/>
      <c r="D32" s="23"/>
      <c r="E32" s="23"/>
      <c r="F32" s="23"/>
      <c r="G32" s="23"/>
      <c r="H32" s="23"/>
      <c r="I32" s="23"/>
      <c r="J32" s="23"/>
      <c r="K32" s="19">
        <f>COUNTIFS(D6:D25,D9,E6:E25,E8)</f>
        <v>2</v>
      </c>
    </row>
    <row r="33" spans="2:11" x14ac:dyDescent="0.25">
      <c r="B33" s="23" t="s">
        <v>48</v>
      </c>
      <c r="C33" s="23"/>
      <c r="D33" s="23"/>
      <c r="E33" s="23"/>
      <c r="F33" s="23"/>
      <c r="G33" s="23"/>
      <c r="H33" s="23"/>
      <c r="I33" s="23"/>
      <c r="J33" s="23"/>
      <c r="K33" s="18">
        <f>SUMIF(D6:D25,D9,K6:K25)</f>
        <v>1342875</v>
      </c>
    </row>
    <row r="34" spans="2:11" x14ac:dyDescent="0.25">
      <c r="B34" s="23" t="s">
        <v>100</v>
      </c>
      <c r="C34" s="23"/>
      <c r="D34" s="23"/>
      <c r="E34" s="23"/>
      <c r="F34" s="23"/>
      <c r="G34" s="23"/>
      <c r="H34" s="23"/>
      <c r="I34" s="23"/>
      <c r="J34" s="23"/>
      <c r="K34" s="18">
        <f>SUMIFS(K6:K25,D6:D25,D6,H6:H25,H8)</f>
        <v>99864</v>
      </c>
    </row>
    <row r="35" spans="2:11" x14ac:dyDescent="0.25">
      <c r="B35" s="23" t="s">
        <v>99</v>
      </c>
      <c r="C35" s="23"/>
      <c r="D35" s="23"/>
      <c r="E35" s="23"/>
      <c r="F35" s="23"/>
      <c r="G35" s="23"/>
      <c r="H35" s="23"/>
      <c r="I35" s="23"/>
      <c r="J35" s="23"/>
      <c r="K35" s="18">
        <f>AVERAGEIF(J6:J25,J8,I6:I25)</f>
        <v>12555.8</v>
      </c>
    </row>
  </sheetData>
  <mergeCells count="11">
    <mergeCell ref="B31:J31"/>
    <mergeCell ref="B32:J32"/>
    <mergeCell ref="B33:J33"/>
    <mergeCell ref="B34:J34"/>
    <mergeCell ref="B35:J35"/>
    <mergeCell ref="B30:J30"/>
    <mergeCell ref="A1:K1"/>
    <mergeCell ref="B26:J26"/>
    <mergeCell ref="B27:J27"/>
    <mergeCell ref="B28:J28"/>
    <mergeCell ref="B29:J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PEMBAHASAN_CHAPTER5</vt:lpstr>
      <vt:lpstr>KUNCI_VIDEO_CHAPTER5</vt:lpstr>
      <vt:lpstr>TEMPLATE_VIDEO_CHAPTER5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EvanBert</dc:creator>
  <cp:lastModifiedBy>Lenovo</cp:lastModifiedBy>
  <dcterms:created xsi:type="dcterms:W3CDTF">2018-08-13T11:15:10Z</dcterms:created>
  <dcterms:modified xsi:type="dcterms:W3CDTF">2026-03-16T02:24:36Z</dcterms:modified>
</cp:coreProperties>
</file>